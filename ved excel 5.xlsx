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cel All Project\"/>
    </mc:Choice>
  </mc:AlternateContent>
  <xr:revisionPtr revIDLastSave="0" documentId="13_ncr:1_{981C268F-0E7F-42DF-9620-CED50D32E06B}" xr6:coauthVersionLast="47" xr6:coauthVersionMax="47" xr10:uidLastSave="{00000000-0000-0000-0000-000000000000}"/>
  <bookViews>
    <workbookView xWindow="-120" yWindow="-120" windowWidth="29040" windowHeight="15840" xr2:uid="{3CDB0CE5-9B20-468D-B00C-48CADF55C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1" l="1"/>
  <c r="G32" i="1"/>
  <c r="G30" i="1"/>
  <c r="G29" i="1"/>
  <c r="G2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8" i="1"/>
</calcChain>
</file>

<file path=xl/sharedStrings.xml><?xml version="1.0" encoding="utf-8"?>
<sst xmlns="http://schemas.openxmlformats.org/spreadsheetml/2006/main" count="43" uniqueCount="43">
  <si>
    <t>Shop No. 8 ACP Rode Anand - 388001</t>
  </si>
  <si>
    <t>Mobi . 8200758917, Email - ved123@gmail.com</t>
  </si>
  <si>
    <t>Tax Invoice</t>
  </si>
  <si>
    <t>Name</t>
  </si>
  <si>
    <t xml:space="preserve">invoice Data </t>
  </si>
  <si>
    <t>Invoice No.</t>
  </si>
  <si>
    <t xml:space="preserve">S.No </t>
  </si>
  <si>
    <t>Quantity</t>
  </si>
  <si>
    <t xml:space="preserve">Rate </t>
  </si>
  <si>
    <t>Amount</t>
  </si>
  <si>
    <t>Description of Good</t>
  </si>
  <si>
    <t>Total Amount</t>
  </si>
  <si>
    <t>CGST 9%</t>
  </si>
  <si>
    <t>SGST 9%</t>
  </si>
  <si>
    <t>IGST 18%</t>
  </si>
  <si>
    <t>Total GST 18%</t>
  </si>
  <si>
    <t>Total Amount After Tax</t>
  </si>
  <si>
    <t>Bank Detail</t>
  </si>
  <si>
    <t>Bank Name : HDFC BANK</t>
  </si>
  <si>
    <t>Branch : Gread Anand</t>
  </si>
  <si>
    <t>IFSC Code : HDFC10008547</t>
  </si>
  <si>
    <t>A/C : 858585845</t>
  </si>
  <si>
    <t>Customer Sign.</t>
  </si>
  <si>
    <t>Aurthorise Sign.</t>
  </si>
  <si>
    <t>Ved Enterprice</t>
  </si>
  <si>
    <t>CPU</t>
  </si>
  <si>
    <t>Keyboard</t>
  </si>
  <si>
    <t xml:space="preserve">Monitor </t>
  </si>
  <si>
    <t>Mouse</t>
  </si>
  <si>
    <t>USB Cable</t>
  </si>
  <si>
    <t>Pen Drive</t>
  </si>
  <si>
    <t>OTG</t>
  </si>
  <si>
    <t>SSD 240 GB</t>
  </si>
  <si>
    <t>RAM 16 GB</t>
  </si>
  <si>
    <t>RAM 4 GB</t>
  </si>
  <si>
    <t>Memory 32 GB</t>
  </si>
  <si>
    <t>Mic</t>
  </si>
  <si>
    <t>Tripod</t>
  </si>
  <si>
    <t>Printer</t>
  </si>
  <si>
    <t>A4 My Choice Paper</t>
  </si>
  <si>
    <t xml:space="preserve">Speker </t>
  </si>
  <si>
    <t>Type C Cable</t>
  </si>
  <si>
    <t>Patel Sachin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</si>
</sst>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&quot;₹&quot;\ * #,##0_ ;_ &quot;₹&quot;\ * \-#,##0_ ;_ &quot;₹&quot;\ * &quot;-&quot;??_ ;_ @_ "/>
  </numFmts>
  <fonts count="8" x14ac:knownFonts="1">
    <font>
      <sz val="11"/>
      <color theme="1"/>
      <name val="Calibri"/>
      <family val="2"/>
      <scheme val="minor"/>
    </font>
    <font>
      <b/>
      <sz val="36"/>
      <color theme="1"/>
      <name val="Bodoni MT Black"/>
      <family val="1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6" fillId="5" borderId="3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164" fontId="5" fillId="5" borderId="15" xfId="1" applyNumberFormat="1" applyFont="1" applyFill="1" applyBorder="1" applyAlignment="1">
      <alignment vertical="center"/>
    </xf>
    <xf numFmtId="164" fontId="5" fillId="5" borderId="15" xfId="1" applyNumberFormat="1" applyFont="1" applyFill="1" applyBorder="1" applyAlignment="1"/>
    <xf numFmtId="0" fontId="5" fillId="5" borderId="15" xfId="0" applyFont="1" applyFill="1" applyBorder="1"/>
    <xf numFmtId="0" fontId="5" fillId="5" borderId="15" xfId="0" applyFont="1" applyFill="1" applyBorder="1" applyAlignment="1"/>
    <xf numFmtId="0" fontId="5" fillId="5" borderId="16" xfId="0" applyFont="1" applyFill="1" applyBorder="1" applyAlignment="1">
      <alignment horizontal="center"/>
    </xf>
    <xf numFmtId="0" fontId="5" fillId="5" borderId="16" xfId="0" applyFont="1" applyFill="1" applyBorder="1"/>
    <xf numFmtId="164" fontId="6" fillId="5" borderId="3" xfId="1" applyNumberFormat="1" applyFont="1" applyFill="1" applyBorder="1"/>
    <xf numFmtId="165" fontId="6" fillId="5" borderId="21" xfId="1" applyNumberFormat="1" applyFont="1" applyFill="1" applyBorder="1"/>
    <xf numFmtId="0" fontId="0" fillId="5" borderId="26" xfId="0" applyFill="1" applyBorder="1"/>
    <xf numFmtId="0" fontId="0" fillId="5" borderId="23" xfId="0" applyFill="1" applyBorder="1"/>
    <xf numFmtId="0" fontId="0" fillId="5" borderId="27" xfId="0" applyFill="1" applyBorder="1"/>
    <xf numFmtId="0" fontId="0" fillId="5" borderId="17" xfId="0" applyFill="1" applyBorder="1"/>
    <xf numFmtId="0" fontId="0" fillId="5" borderId="0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5" fontId="6" fillId="5" borderId="2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0" fontId="6" fillId="5" borderId="20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7986-8495-42AA-B148-9C9A58BE95D8}">
  <dimension ref="A1:G37"/>
  <sheetViews>
    <sheetView showGridLines="0" tabSelected="1" zoomScale="70" zoomScaleNormal="70" workbookViewId="0">
      <selection activeCell="B14" sqref="B14:D14"/>
    </sheetView>
  </sheetViews>
  <sheetFormatPr defaultRowHeight="15" x14ac:dyDescent="0.25"/>
  <cols>
    <col min="5" max="5" width="12.42578125" customWidth="1"/>
    <col min="6" max="6" width="15.28515625" customWidth="1"/>
    <col min="7" max="7" width="16.7109375" customWidth="1"/>
  </cols>
  <sheetData>
    <row r="1" spans="1:7" ht="45.75" x14ac:dyDescent="0.65">
      <c r="A1" s="20" t="s">
        <v>24</v>
      </c>
      <c r="B1" s="21"/>
      <c r="C1" s="21"/>
      <c r="D1" s="21"/>
      <c r="E1" s="21"/>
      <c r="F1" s="21"/>
      <c r="G1" s="22"/>
    </row>
    <row r="2" spans="1:7" ht="26.25" x14ac:dyDescent="0.4">
      <c r="A2" s="23" t="s">
        <v>0</v>
      </c>
      <c r="B2" s="24"/>
      <c r="C2" s="24"/>
      <c r="D2" s="24"/>
      <c r="E2" s="24"/>
      <c r="F2" s="24"/>
      <c r="G2" s="25"/>
    </row>
    <row r="3" spans="1:7" ht="21.75" thickBot="1" x14ac:dyDescent="0.4">
      <c r="A3" s="26" t="s">
        <v>1</v>
      </c>
      <c r="B3" s="27"/>
      <c r="C3" s="27"/>
      <c r="D3" s="27"/>
      <c r="E3" s="27"/>
      <c r="F3" s="27"/>
      <c r="G3" s="28"/>
    </row>
    <row r="4" spans="1:7" ht="34.5" thickBot="1" x14ac:dyDescent="0.7">
      <c r="A4" s="29" t="s">
        <v>2</v>
      </c>
      <c r="B4" s="29"/>
      <c r="C4" s="29"/>
      <c r="D4" s="29"/>
      <c r="E4" s="29"/>
      <c r="F4" s="29"/>
      <c r="G4" s="29"/>
    </row>
    <row r="5" spans="1:7" ht="18.75" x14ac:dyDescent="0.3">
      <c r="A5" s="32" t="s">
        <v>3</v>
      </c>
      <c r="B5" s="33"/>
      <c r="C5" s="33" t="s">
        <v>42</v>
      </c>
      <c r="D5" s="33"/>
      <c r="E5" s="33" t="s">
        <v>5</v>
      </c>
      <c r="F5" s="33"/>
      <c r="G5" s="37"/>
    </row>
    <row r="6" spans="1:7" ht="19.5" thickBot="1" x14ac:dyDescent="0.35">
      <c r="A6" s="34" t="s">
        <v>4</v>
      </c>
      <c r="B6" s="35"/>
      <c r="C6" s="36">
        <v>46163</v>
      </c>
      <c r="D6" s="35"/>
      <c r="E6" s="35">
        <v>2001</v>
      </c>
      <c r="F6" s="35"/>
      <c r="G6" s="38"/>
    </row>
    <row r="7" spans="1:7" ht="19.5" thickBot="1" x14ac:dyDescent="0.35">
      <c r="A7" s="1" t="s">
        <v>6</v>
      </c>
      <c r="B7" s="42" t="s">
        <v>10</v>
      </c>
      <c r="C7" s="43"/>
      <c r="D7" s="44"/>
      <c r="E7" s="1" t="s">
        <v>7</v>
      </c>
      <c r="F7" s="1" t="s">
        <v>8</v>
      </c>
      <c r="G7" s="1" t="s">
        <v>9</v>
      </c>
    </row>
    <row r="8" spans="1:7" ht="18.75" x14ac:dyDescent="0.3">
      <c r="A8" s="2">
        <v>1</v>
      </c>
      <c r="B8" s="39" t="s">
        <v>25</v>
      </c>
      <c r="C8" s="40"/>
      <c r="D8" s="41"/>
      <c r="E8" s="2">
        <v>2</v>
      </c>
      <c r="F8" s="3">
        <v>60000</v>
      </c>
      <c r="G8" s="4">
        <f>E8*F8</f>
        <v>120000</v>
      </c>
    </row>
    <row r="9" spans="1:7" ht="18.75" x14ac:dyDescent="0.3">
      <c r="A9" s="2">
        <v>2</v>
      </c>
      <c r="B9" s="39" t="s">
        <v>26</v>
      </c>
      <c r="C9" s="40"/>
      <c r="D9" s="41"/>
      <c r="E9" s="2">
        <v>5</v>
      </c>
      <c r="F9" s="3">
        <v>500</v>
      </c>
      <c r="G9" s="4">
        <f t="shared" ref="G9:G24" si="0">E9*F9</f>
        <v>2500</v>
      </c>
    </row>
    <row r="10" spans="1:7" ht="18.75" x14ac:dyDescent="0.3">
      <c r="A10" s="2">
        <v>3</v>
      </c>
      <c r="B10" s="39" t="s">
        <v>27</v>
      </c>
      <c r="C10" s="40"/>
      <c r="D10" s="41"/>
      <c r="E10" s="2">
        <v>2</v>
      </c>
      <c r="F10" s="3">
        <v>7000</v>
      </c>
      <c r="G10" s="4">
        <f t="shared" si="0"/>
        <v>14000</v>
      </c>
    </row>
    <row r="11" spans="1:7" ht="18.75" x14ac:dyDescent="0.3">
      <c r="A11" s="2">
        <v>4</v>
      </c>
      <c r="B11" s="39" t="s">
        <v>28</v>
      </c>
      <c r="C11" s="40"/>
      <c r="D11" s="41"/>
      <c r="E11" s="2">
        <v>5</v>
      </c>
      <c r="F11" s="3">
        <v>500</v>
      </c>
      <c r="G11" s="4">
        <f t="shared" si="0"/>
        <v>2500</v>
      </c>
    </row>
    <row r="12" spans="1:7" ht="18.75" x14ac:dyDescent="0.3">
      <c r="A12" s="2">
        <v>5</v>
      </c>
      <c r="B12" s="39" t="s">
        <v>29</v>
      </c>
      <c r="C12" s="40"/>
      <c r="D12" s="41"/>
      <c r="E12" s="2">
        <v>10</v>
      </c>
      <c r="F12" s="3">
        <v>300</v>
      </c>
      <c r="G12" s="4">
        <f t="shared" si="0"/>
        <v>3000</v>
      </c>
    </row>
    <row r="13" spans="1:7" ht="18.75" x14ac:dyDescent="0.3">
      <c r="A13" s="2">
        <v>6</v>
      </c>
      <c r="B13" s="39" t="s">
        <v>30</v>
      </c>
      <c r="C13" s="40"/>
      <c r="D13" s="41"/>
      <c r="E13" s="2">
        <v>5</v>
      </c>
      <c r="F13" s="3">
        <v>600</v>
      </c>
      <c r="G13" s="4">
        <f t="shared" si="0"/>
        <v>3000</v>
      </c>
    </row>
    <row r="14" spans="1:7" ht="18.75" x14ac:dyDescent="0.3">
      <c r="A14" s="2">
        <v>7</v>
      </c>
      <c r="B14" s="39" t="s">
        <v>31</v>
      </c>
      <c r="C14" s="40"/>
      <c r="D14" s="41"/>
      <c r="E14" s="2">
        <v>3</v>
      </c>
      <c r="F14" s="3">
        <v>50</v>
      </c>
      <c r="G14" s="4">
        <f t="shared" si="0"/>
        <v>150</v>
      </c>
    </row>
    <row r="15" spans="1:7" ht="18.75" x14ac:dyDescent="0.3">
      <c r="A15" s="2">
        <v>8</v>
      </c>
      <c r="B15" s="39" t="s">
        <v>32</v>
      </c>
      <c r="C15" s="40"/>
      <c r="D15" s="41"/>
      <c r="E15" s="2">
        <v>5</v>
      </c>
      <c r="F15" s="3">
        <v>5000</v>
      </c>
      <c r="G15" s="4">
        <f t="shared" si="0"/>
        <v>25000</v>
      </c>
    </row>
    <row r="16" spans="1:7" ht="18.75" x14ac:dyDescent="0.3">
      <c r="A16" s="2">
        <v>9</v>
      </c>
      <c r="B16" s="39" t="s">
        <v>33</v>
      </c>
      <c r="C16" s="40"/>
      <c r="D16" s="41"/>
      <c r="E16" s="2">
        <v>3</v>
      </c>
      <c r="F16" s="3">
        <v>2000</v>
      </c>
      <c r="G16" s="4">
        <f t="shared" si="0"/>
        <v>6000</v>
      </c>
    </row>
    <row r="17" spans="1:7" ht="18.75" x14ac:dyDescent="0.3">
      <c r="A17" s="2">
        <v>10</v>
      </c>
      <c r="B17" s="39" t="s">
        <v>34</v>
      </c>
      <c r="C17" s="40"/>
      <c r="D17" s="41"/>
      <c r="E17" s="2">
        <v>2</v>
      </c>
      <c r="F17" s="3">
        <v>1000</v>
      </c>
      <c r="G17" s="4">
        <f t="shared" si="0"/>
        <v>2000</v>
      </c>
    </row>
    <row r="18" spans="1:7" ht="18.75" x14ac:dyDescent="0.3">
      <c r="A18" s="2">
        <v>11</v>
      </c>
      <c r="B18" s="39" t="s">
        <v>35</v>
      </c>
      <c r="C18" s="40"/>
      <c r="D18" s="41"/>
      <c r="E18" s="2">
        <v>3</v>
      </c>
      <c r="F18" s="3">
        <v>600</v>
      </c>
      <c r="G18" s="4">
        <f t="shared" si="0"/>
        <v>1800</v>
      </c>
    </row>
    <row r="19" spans="1:7" ht="18.75" x14ac:dyDescent="0.3">
      <c r="A19" s="2">
        <v>12</v>
      </c>
      <c r="B19" s="39" t="s">
        <v>36</v>
      </c>
      <c r="C19" s="40"/>
      <c r="D19" s="41"/>
      <c r="E19" s="2">
        <v>2</v>
      </c>
      <c r="F19" s="3">
        <v>3000</v>
      </c>
      <c r="G19" s="4">
        <f t="shared" si="0"/>
        <v>6000</v>
      </c>
    </row>
    <row r="20" spans="1:7" ht="18.75" x14ac:dyDescent="0.3">
      <c r="A20" s="2">
        <v>13</v>
      </c>
      <c r="B20" s="39" t="s">
        <v>37</v>
      </c>
      <c r="C20" s="40"/>
      <c r="D20" s="41"/>
      <c r="E20" s="2">
        <v>5</v>
      </c>
      <c r="F20" s="3">
        <v>400</v>
      </c>
      <c r="G20" s="4">
        <f t="shared" si="0"/>
        <v>2000</v>
      </c>
    </row>
    <row r="21" spans="1:7" ht="18.75" x14ac:dyDescent="0.3">
      <c r="A21" s="2">
        <v>14</v>
      </c>
      <c r="B21" s="39" t="s">
        <v>38</v>
      </c>
      <c r="C21" s="40"/>
      <c r="D21" s="41"/>
      <c r="E21" s="2">
        <v>2</v>
      </c>
      <c r="F21" s="3">
        <v>20000</v>
      </c>
      <c r="G21" s="4">
        <f t="shared" si="0"/>
        <v>40000</v>
      </c>
    </row>
    <row r="22" spans="1:7" ht="18.75" x14ac:dyDescent="0.3">
      <c r="A22" s="2">
        <v>15</v>
      </c>
      <c r="B22" s="39" t="s">
        <v>39</v>
      </c>
      <c r="C22" s="40"/>
      <c r="D22" s="41"/>
      <c r="E22" s="2">
        <v>10</v>
      </c>
      <c r="F22" s="3">
        <v>350</v>
      </c>
      <c r="G22" s="4">
        <f t="shared" si="0"/>
        <v>3500</v>
      </c>
    </row>
    <row r="23" spans="1:7" ht="18.75" x14ac:dyDescent="0.3">
      <c r="A23" s="2">
        <v>16</v>
      </c>
      <c r="B23" s="39" t="s">
        <v>40</v>
      </c>
      <c r="C23" s="40"/>
      <c r="D23" s="41"/>
      <c r="E23" s="2">
        <v>2</v>
      </c>
      <c r="F23" s="3">
        <v>1700</v>
      </c>
      <c r="G23" s="4">
        <f t="shared" si="0"/>
        <v>3400</v>
      </c>
    </row>
    <row r="24" spans="1:7" ht="18.75" x14ac:dyDescent="0.3">
      <c r="A24" s="2">
        <v>17</v>
      </c>
      <c r="B24" s="39" t="s">
        <v>41</v>
      </c>
      <c r="C24" s="40"/>
      <c r="D24" s="41"/>
      <c r="E24" s="2">
        <v>6</v>
      </c>
      <c r="F24" s="3">
        <v>350</v>
      </c>
      <c r="G24" s="4">
        <f t="shared" si="0"/>
        <v>2100</v>
      </c>
    </row>
    <row r="25" spans="1:7" ht="18.75" x14ac:dyDescent="0.3">
      <c r="A25" s="2">
        <v>18</v>
      </c>
      <c r="B25" s="39"/>
      <c r="C25" s="40"/>
      <c r="D25" s="41"/>
      <c r="E25" s="5"/>
      <c r="F25" s="6"/>
      <c r="G25" s="6"/>
    </row>
    <row r="26" spans="1:7" ht="18.75" x14ac:dyDescent="0.3">
      <c r="A26" s="2">
        <v>19</v>
      </c>
      <c r="B26" s="39"/>
      <c r="C26" s="40"/>
      <c r="D26" s="41"/>
      <c r="E26" s="5"/>
      <c r="F26" s="5"/>
      <c r="G26" s="5"/>
    </row>
    <row r="27" spans="1:7" ht="19.5" thickBot="1" x14ac:dyDescent="0.35">
      <c r="A27" s="7">
        <v>20</v>
      </c>
      <c r="B27" s="47"/>
      <c r="C27" s="48"/>
      <c r="D27" s="49"/>
      <c r="E27" s="8"/>
      <c r="F27" s="8"/>
      <c r="G27" s="8"/>
    </row>
    <row r="28" spans="1:7" ht="21" customHeight="1" thickBot="1" x14ac:dyDescent="0.35">
      <c r="A28" s="50"/>
      <c r="B28" s="51"/>
      <c r="C28" s="51"/>
      <c r="D28" s="51"/>
      <c r="E28" s="45" t="s">
        <v>11</v>
      </c>
      <c r="F28" s="46"/>
      <c r="G28" s="9">
        <f>SUM(G8:G24)</f>
        <v>236950</v>
      </c>
    </row>
    <row r="29" spans="1:7" ht="21" customHeight="1" thickBot="1" x14ac:dyDescent="0.35">
      <c r="A29" s="52" t="s">
        <v>17</v>
      </c>
      <c r="B29" s="53"/>
      <c r="C29" s="53"/>
      <c r="D29" s="54"/>
      <c r="E29" s="45" t="s">
        <v>12</v>
      </c>
      <c r="F29" s="46"/>
      <c r="G29" s="9">
        <f>G28*9%</f>
        <v>21325.5</v>
      </c>
    </row>
    <row r="30" spans="1:7" ht="21" customHeight="1" thickBot="1" x14ac:dyDescent="0.35">
      <c r="A30" s="55" t="s">
        <v>18</v>
      </c>
      <c r="B30" s="56"/>
      <c r="C30" s="56"/>
      <c r="D30" s="57"/>
      <c r="E30" s="45" t="s">
        <v>13</v>
      </c>
      <c r="F30" s="46"/>
      <c r="G30" s="9">
        <f>G28*9%</f>
        <v>21325.5</v>
      </c>
    </row>
    <row r="31" spans="1:7" ht="21" customHeight="1" thickBot="1" x14ac:dyDescent="0.35">
      <c r="A31" s="55" t="s">
        <v>19</v>
      </c>
      <c r="B31" s="56"/>
      <c r="C31" s="56"/>
      <c r="D31" s="57"/>
      <c r="E31" s="45" t="s">
        <v>14</v>
      </c>
      <c r="F31" s="46"/>
      <c r="G31" s="9"/>
    </row>
    <row r="32" spans="1:7" ht="21" customHeight="1" thickBot="1" x14ac:dyDescent="0.35">
      <c r="A32" s="55" t="s">
        <v>21</v>
      </c>
      <c r="B32" s="56"/>
      <c r="C32" s="56"/>
      <c r="D32" s="57"/>
      <c r="E32" s="45" t="s">
        <v>15</v>
      </c>
      <c r="F32" s="46"/>
      <c r="G32" s="9">
        <f>G29+G30</f>
        <v>42651</v>
      </c>
    </row>
    <row r="33" spans="1:7" ht="21" customHeight="1" thickBot="1" x14ac:dyDescent="0.35">
      <c r="A33" s="58" t="s">
        <v>20</v>
      </c>
      <c r="B33" s="59"/>
      <c r="C33" s="59"/>
      <c r="D33" s="60"/>
      <c r="E33" s="45" t="s">
        <v>16</v>
      </c>
      <c r="F33" s="46"/>
      <c r="G33" s="10">
        <f>G28+G32</f>
        <v>279601</v>
      </c>
    </row>
    <row r="34" spans="1:7" ht="15.75" thickBot="1" x14ac:dyDescent="0.3">
      <c r="A34" s="11"/>
      <c r="B34" s="12"/>
      <c r="C34" s="12"/>
      <c r="D34" s="12"/>
      <c r="E34" s="12"/>
      <c r="F34" s="12"/>
      <c r="G34" s="13"/>
    </row>
    <row r="35" spans="1:7" ht="15.75" thickBot="1" x14ac:dyDescent="0.3">
      <c r="A35" s="14"/>
      <c r="B35" s="30"/>
      <c r="C35" s="31"/>
      <c r="D35" s="15"/>
      <c r="E35" s="30"/>
      <c r="F35" s="31"/>
      <c r="G35" s="16"/>
    </row>
    <row r="36" spans="1:7" ht="18.75" x14ac:dyDescent="0.3">
      <c r="A36" s="14"/>
      <c r="B36" s="61" t="s">
        <v>22</v>
      </c>
      <c r="C36" s="61"/>
      <c r="D36" s="15"/>
      <c r="E36" s="61" t="s">
        <v>23</v>
      </c>
      <c r="F36" s="61"/>
      <c r="G36" s="16"/>
    </row>
    <row r="37" spans="1:7" ht="15.75" thickBot="1" x14ac:dyDescent="0.3">
      <c r="A37" s="17"/>
      <c r="B37" s="18"/>
      <c r="C37" s="18"/>
      <c r="D37" s="18"/>
      <c r="E37" s="18"/>
      <c r="F37" s="18"/>
      <c r="G37" s="19"/>
    </row>
  </sheetData>
  <mergeCells count="47">
    <mergeCell ref="A30:D30"/>
    <mergeCell ref="A31:D31"/>
    <mergeCell ref="A32:D32"/>
    <mergeCell ref="A33:D33"/>
    <mergeCell ref="E36:F36"/>
    <mergeCell ref="B36:C36"/>
    <mergeCell ref="E30:F30"/>
    <mergeCell ref="E31:F31"/>
    <mergeCell ref="E32:F32"/>
    <mergeCell ref="E33:F33"/>
    <mergeCell ref="B15:D15"/>
    <mergeCell ref="B16:D16"/>
    <mergeCell ref="B17:D17"/>
    <mergeCell ref="E29:F29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28:D28"/>
    <mergeCell ref="E28:F28"/>
    <mergeCell ref="A29:D29"/>
    <mergeCell ref="B10:D10"/>
    <mergeCell ref="B11:D11"/>
    <mergeCell ref="B12:D12"/>
    <mergeCell ref="B13:D13"/>
    <mergeCell ref="B14:D14"/>
    <mergeCell ref="A1:G1"/>
    <mergeCell ref="A2:G2"/>
    <mergeCell ref="A3:G3"/>
    <mergeCell ref="A4:G4"/>
    <mergeCell ref="E35:F35"/>
    <mergeCell ref="B35:C35"/>
    <mergeCell ref="A5:B5"/>
    <mergeCell ref="A6:B6"/>
    <mergeCell ref="C5:D5"/>
    <mergeCell ref="C6:D6"/>
    <mergeCell ref="E5:G5"/>
    <mergeCell ref="E6:G6"/>
    <mergeCell ref="B18:D18"/>
    <mergeCell ref="B7:D7"/>
    <mergeCell ref="B8:D8"/>
    <mergeCell ref="B9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Patel</dc:creator>
  <cp:lastModifiedBy>Riya Patel</cp:lastModifiedBy>
  <cp:lastPrinted>2026-05-21T16:25:44Z</cp:lastPrinted>
  <dcterms:created xsi:type="dcterms:W3CDTF">2026-05-21T14:33:21Z</dcterms:created>
  <dcterms:modified xsi:type="dcterms:W3CDTF">2026-06-01T15:57:14Z</dcterms:modified>
</cp:coreProperties>
</file>