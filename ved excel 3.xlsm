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 All Project\"/>
    </mc:Choice>
  </mc:AlternateContent>
  <xr:revisionPtr revIDLastSave="0" documentId="13_ncr:1_{DBC792C6-9384-4CCC-84F4-4228D0F85F31}" xr6:coauthVersionLast="47" xr6:coauthVersionMax="47" xr10:uidLastSave="{00000000-0000-0000-0000-000000000000}"/>
  <bookViews>
    <workbookView xWindow="-120" yWindow="-120" windowWidth="29040" windowHeight="15840" activeTab="1" xr2:uid="{A475A2C7-872B-4259-B583-E19BA4EBD7BC}"/>
  </bookViews>
  <sheets>
    <sheet name="Form" sheetId="1" r:id="rId1"/>
    <sheet name="Database" sheetId="2" r:id="rId2"/>
  </sheets>
  <definedNames>
    <definedName name="_xlnm._FilterDatabase" localSheetId="0" hidden="1">Form!$B$23:$B$34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4" i="1" l="1"/>
  <c r="C33" i="1"/>
  <c r="C32" i="1"/>
  <c r="C31" i="1"/>
  <c r="C30" i="1"/>
  <c r="C29" i="1"/>
  <c r="C28" i="1"/>
  <c r="C27" i="1"/>
  <c r="C26" i="1"/>
  <c r="C25" i="1"/>
  <c r="C24" i="1"/>
  <c r="C23" i="1"/>
</calcChain>
</file>

<file path=xl/sharedStrings.xml><?xml version="1.0" encoding="utf-8"?>
<sst xmlns="http://schemas.openxmlformats.org/spreadsheetml/2006/main" count="62" uniqueCount="32">
  <si>
    <t>Employee Data Form</t>
  </si>
  <si>
    <t>Employee Name</t>
  </si>
  <si>
    <t>Employee Code</t>
  </si>
  <si>
    <t>Email ID</t>
  </si>
  <si>
    <t>Date of Birth</t>
  </si>
  <si>
    <t>Department</t>
  </si>
  <si>
    <t>Loction</t>
  </si>
  <si>
    <t>Basic Salary</t>
  </si>
  <si>
    <t>HRA</t>
  </si>
  <si>
    <t>Medical</t>
  </si>
  <si>
    <t>Conveyance</t>
  </si>
  <si>
    <t>Deduction</t>
  </si>
  <si>
    <t>Net Pay</t>
  </si>
  <si>
    <t>mohit</t>
  </si>
  <si>
    <t>vcx200</t>
  </si>
  <si>
    <t>mo123@gmail.com</t>
  </si>
  <si>
    <t>HR</t>
  </si>
  <si>
    <t>Admin</t>
  </si>
  <si>
    <t>Office</t>
  </si>
  <si>
    <t>vcd250</t>
  </si>
  <si>
    <t>moh45@gmail.com</t>
  </si>
  <si>
    <t>Site</t>
  </si>
  <si>
    <t>sachin patel</t>
  </si>
  <si>
    <t>xyz100</t>
  </si>
  <si>
    <t>sachin@gmail.com</t>
  </si>
  <si>
    <t xml:space="preserve">Account </t>
  </si>
  <si>
    <t>sangita</t>
  </si>
  <si>
    <t>sspa@gmail.com</t>
  </si>
  <si>
    <t>ved</t>
  </si>
  <si>
    <t>xyz 120</t>
  </si>
  <si>
    <t>ss365@gmail.com</t>
  </si>
  <si>
    <t>xzy123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</si>
</sst>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2" fillId="0" borderId="5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4" fillId="5" borderId="0" xfId="0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14" fontId="0" fillId="0" borderId="0" xfId="0" applyNumberFormat="1"/>
    <xf numFmtId="3" fontId="4" fillId="5" borderId="0" xfId="0" applyNumberFormat="1" applyFont="1" applyFill="1" applyAlignment="1">
      <alignment horizontal="center"/>
    </xf>
    <xf numFmtId="3" fontId="0" fillId="0" borderId="0" xfId="0" applyNumberFormat="1"/>
    <xf numFmtId="3" fontId="4" fillId="5" borderId="0" xfId="0" applyNumberFormat="1" applyFont="1" applyFill="1"/>
    <xf numFmtId="14" fontId="0" fillId="4" borderId="0" xfId="0" applyNumberFormat="1" applyFill="1"/>
    <xf numFmtId="164" fontId="0" fillId="3" borderId="1" xfId="1" applyNumberFormat="1" applyFont="1" applyFill="1" applyBorder="1"/>
    <xf numFmtId="0" fontId="0" fillId="4" borderId="0" xfId="0" applyFill="1" applyProtection="1">
      <protection locked="0"/>
    </xf>
    <xf numFmtId="0" fontId="0" fillId="3" borderId="1" xfId="0" applyFont="1" applyFill="1" applyBorder="1" applyProtection="1">
      <protection locked="0"/>
    </xf>
    <xf numFmtId="0" fontId="5" fillId="3" borderId="1" xfId="2" applyFill="1" applyBorder="1" applyProtection="1">
      <protection locked="0"/>
    </xf>
    <xf numFmtId="14" fontId="0" fillId="3" borderId="1" xfId="0" applyNumberFormat="1" applyFont="1" applyFill="1" applyBorder="1" applyProtection="1">
      <protection locked="0"/>
    </xf>
    <xf numFmtId="164" fontId="0" fillId="3" borderId="1" xfId="1" applyNumberFormat="1" applyFont="1" applyFill="1" applyBorder="1" applyProtection="1">
      <protection locked="0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180975</xdr:rowOff>
        </xdr:from>
        <xdr:to>
          <xdr:col>2</xdr:col>
          <xdr:colOff>628650</xdr:colOff>
          <xdr:row>14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12</xdr:row>
          <xdr:rowOff>180975</xdr:rowOff>
        </xdr:from>
        <xdr:to>
          <xdr:col>2</xdr:col>
          <xdr:colOff>1114425</xdr:colOff>
          <xdr:row>14</xdr:row>
          <xdr:rowOff>9525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133350</xdr:rowOff>
        </xdr:from>
        <xdr:to>
          <xdr:col>4</xdr:col>
          <xdr:colOff>66675</xdr:colOff>
          <xdr:row>15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2A9C0-4831-4981-AE5D-EF5703ED678F}">
  <dimension ref="A2:AH105"/>
  <sheetViews>
    <sheetView showGridLines="0" zoomScale="180" zoomScaleNormal="180" workbookViewId="0">
      <selection activeCell="F5" sqref="F5"/>
    </sheetView>
  </sheetViews>
  <sheetFormatPr defaultRowHeight="15" x14ac:dyDescent="0.25"/>
  <cols>
    <col min="1" max="1" width="5.85546875" style="12" customWidth="1"/>
    <col min="2" max="2" width="21.28515625" customWidth="1"/>
    <col min="3" max="3" width="18.5703125" customWidth="1"/>
    <col min="5" max="5" width="14.140625" customWidth="1"/>
    <col min="6" max="6" width="18.140625" customWidth="1"/>
    <col min="7" max="34" width="9.140625" style="12"/>
  </cols>
  <sheetData>
    <row r="2" spans="2:6" ht="26.25" x14ac:dyDescent="0.4">
      <c r="B2" s="1" t="s">
        <v>0</v>
      </c>
      <c r="C2" s="2"/>
      <c r="D2" s="2"/>
      <c r="E2" s="2"/>
      <c r="F2" s="3"/>
    </row>
    <row r="3" spans="2:6" x14ac:dyDescent="0.25">
      <c r="B3" s="4"/>
      <c r="C3" s="5"/>
      <c r="D3" s="5"/>
      <c r="E3" s="5"/>
      <c r="F3" s="6"/>
    </row>
    <row r="4" spans="2:6" x14ac:dyDescent="0.25">
      <c r="B4" s="7" t="s">
        <v>1</v>
      </c>
      <c r="C4" s="22"/>
      <c r="D4" s="5"/>
      <c r="E4" s="8" t="s">
        <v>7</v>
      </c>
      <c r="F4" s="25"/>
    </row>
    <row r="5" spans="2:6" x14ac:dyDescent="0.25">
      <c r="B5" s="7"/>
      <c r="C5" s="5"/>
      <c r="D5" s="5"/>
      <c r="E5" s="8"/>
      <c r="F5" s="6"/>
    </row>
    <row r="6" spans="2:6" x14ac:dyDescent="0.25">
      <c r="B6" s="7" t="s">
        <v>2</v>
      </c>
      <c r="C6" s="22"/>
      <c r="D6" s="5"/>
      <c r="E6" s="8" t="s">
        <v>8</v>
      </c>
      <c r="F6" s="25"/>
    </row>
    <row r="7" spans="2:6" x14ac:dyDescent="0.25">
      <c r="B7" s="7"/>
      <c r="C7" s="5"/>
      <c r="D7" s="5"/>
      <c r="E7" s="8"/>
      <c r="F7" s="6"/>
    </row>
    <row r="8" spans="2:6" x14ac:dyDescent="0.25">
      <c r="B8" s="7" t="s">
        <v>3</v>
      </c>
      <c r="C8" s="23"/>
      <c r="D8" s="5"/>
      <c r="E8" s="8" t="s">
        <v>9</v>
      </c>
      <c r="F8" s="25"/>
    </row>
    <row r="9" spans="2:6" x14ac:dyDescent="0.25">
      <c r="B9" s="7"/>
      <c r="C9" s="5"/>
      <c r="D9" s="5"/>
      <c r="E9" s="8"/>
      <c r="F9" s="6"/>
    </row>
    <row r="10" spans="2:6" x14ac:dyDescent="0.25">
      <c r="B10" s="7" t="s">
        <v>4</v>
      </c>
      <c r="C10" s="24"/>
      <c r="D10" s="5"/>
      <c r="E10" s="8" t="s">
        <v>10</v>
      </c>
      <c r="F10" s="25"/>
    </row>
    <row r="11" spans="2:6" x14ac:dyDescent="0.25">
      <c r="B11" s="7"/>
      <c r="C11" s="5"/>
      <c r="D11" s="5"/>
      <c r="E11" s="8"/>
      <c r="F11" s="6"/>
    </row>
    <row r="12" spans="2:6" x14ac:dyDescent="0.25">
      <c r="B12" s="7" t="s">
        <v>5</v>
      </c>
      <c r="C12" s="22"/>
      <c r="D12" s="5"/>
      <c r="E12" s="8" t="s">
        <v>11</v>
      </c>
      <c r="F12" s="25"/>
    </row>
    <row r="13" spans="2:6" x14ac:dyDescent="0.25">
      <c r="B13" s="7"/>
      <c r="C13" s="5"/>
      <c r="D13" s="5"/>
      <c r="E13" s="8"/>
      <c r="F13" s="6"/>
    </row>
    <row r="14" spans="2:6" x14ac:dyDescent="0.25">
      <c r="B14" s="7" t="s">
        <v>6</v>
      </c>
      <c r="C14" s="5"/>
      <c r="D14" s="5"/>
      <c r="E14" s="8" t="s">
        <v>12</v>
      </c>
      <c r="F14" s="20"/>
    </row>
    <row r="15" spans="2:6" x14ac:dyDescent="0.25">
      <c r="B15" s="4"/>
      <c r="C15" s="5"/>
      <c r="D15" s="5"/>
      <c r="E15" s="5"/>
      <c r="F15" s="6"/>
    </row>
    <row r="16" spans="2:6" x14ac:dyDescent="0.25">
      <c r="B16" s="9"/>
      <c r="C16" s="10"/>
      <c r="D16" s="10"/>
      <c r="E16" s="10"/>
      <c r="F16" s="11"/>
    </row>
    <row r="17" spans="2:4" s="12" customFormat="1" x14ac:dyDescent="0.25"/>
    <row r="18" spans="2:4" s="12" customFormat="1" x14ac:dyDescent="0.25"/>
    <row r="19" spans="2:4" s="12" customFormat="1" x14ac:dyDescent="0.25"/>
    <row r="20" spans="2:4" s="12" customFormat="1" x14ac:dyDescent="0.25"/>
    <row r="21" spans="2:4" s="12" customFormat="1" x14ac:dyDescent="0.25"/>
    <row r="22" spans="2:4" s="12" customFormat="1" x14ac:dyDescent="0.25"/>
    <row r="23" spans="2:4" s="12" customFormat="1" x14ac:dyDescent="0.25">
      <c r="B23" s="12" t="s">
        <v>1</v>
      </c>
      <c r="C23" s="12">
        <f>C4</f>
        <v>0</v>
      </c>
    </row>
    <row r="24" spans="2:4" s="12" customFormat="1" x14ac:dyDescent="0.25">
      <c r="B24" s="12" t="s">
        <v>2</v>
      </c>
      <c r="C24" s="12">
        <f>C6</f>
        <v>0</v>
      </c>
    </row>
    <row r="25" spans="2:4" s="12" customFormat="1" x14ac:dyDescent="0.25">
      <c r="B25" s="12" t="s">
        <v>3</v>
      </c>
      <c r="C25" s="12">
        <f>C8</f>
        <v>0</v>
      </c>
    </row>
    <row r="26" spans="2:4" s="12" customFormat="1" x14ac:dyDescent="0.25">
      <c r="B26" s="12" t="s">
        <v>4</v>
      </c>
      <c r="C26" s="19">
        <f>C10</f>
        <v>0</v>
      </c>
    </row>
    <row r="27" spans="2:4" s="12" customFormat="1" x14ac:dyDescent="0.25">
      <c r="B27" s="12" t="s">
        <v>5</v>
      </c>
      <c r="C27" s="12">
        <f>C12</f>
        <v>0</v>
      </c>
    </row>
    <row r="28" spans="2:4" s="12" customFormat="1" x14ac:dyDescent="0.25">
      <c r="B28" s="12" t="s">
        <v>6</v>
      </c>
      <c r="C28" s="12" t="str">
        <f>IF(D28=1,"Site","Office")</f>
        <v>Office</v>
      </c>
      <c r="D28" s="21">
        <v>2</v>
      </c>
    </row>
    <row r="29" spans="2:4" s="12" customFormat="1" x14ac:dyDescent="0.25">
      <c r="B29" s="12" t="s">
        <v>7</v>
      </c>
      <c r="C29" s="12">
        <f>F4</f>
        <v>0</v>
      </c>
    </row>
    <row r="30" spans="2:4" s="12" customFormat="1" x14ac:dyDescent="0.25">
      <c r="B30" s="12" t="s">
        <v>8</v>
      </c>
      <c r="C30" s="12">
        <f>F6</f>
        <v>0</v>
      </c>
    </row>
    <row r="31" spans="2:4" s="12" customFormat="1" x14ac:dyDescent="0.25">
      <c r="B31" s="12" t="s">
        <v>9</v>
      </c>
      <c r="C31" s="12">
        <f>F8</f>
        <v>0</v>
      </c>
    </row>
    <row r="32" spans="2:4" s="12" customFormat="1" x14ac:dyDescent="0.25">
      <c r="B32" s="12" t="s">
        <v>10</v>
      </c>
      <c r="C32" s="12">
        <f>F10</f>
        <v>0</v>
      </c>
    </row>
    <row r="33" spans="2:3" s="12" customFormat="1" x14ac:dyDescent="0.25">
      <c r="B33" s="12" t="s">
        <v>11</v>
      </c>
      <c r="C33" s="12">
        <f>F12</f>
        <v>0</v>
      </c>
    </row>
    <row r="34" spans="2:3" s="12" customFormat="1" x14ac:dyDescent="0.25">
      <c r="B34" s="12" t="s">
        <v>12</v>
      </c>
      <c r="C34" s="12">
        <f>F14</f>
        <v>0</v>
      </c>
    </row>
    <row r="35" spans="2:3" s="12" customFormat="1" x14ac:dyDescent="0.25"/>
    <row r="36" spans="2:3" s="12" customFormat="1" x14ac:dyDescent="0.25"/>
    <row r="37" spans="2:3" s="12" customFormat="1" x14ac:dyDescent="0.25"/>
    <row r="38" spans="2:3" s="12" customFormat="1" x14ac:dyDescent="0.25"/>
    <row r="39" spans="2:3" s="12" customFormat="1" x14ac:dyDescent="0.25"/>
    <row r="40" spans="2:3" s="12" customFormat="1" x14ac:dyDescent="0.25"/>
    <row r="41" spans="2:3" s="12" customFormat="1" x14ac:dyDescent="0.25"/>
    <row r="42" spans="2:3" s="12" customFormat="1" x14ac:dyDescent="0.25"/>
    <row r="43" spans="2:3" s="12" customFormat="1" x14ac:dyDescent="0.25"/>
    <row r="44" spans="2:3" s="12" customFormat="1" x14ac:dyDescent="0.25"/>
    <row r="45" spans="2:3" s="12" customFormat="1" x14ac:dyDescent="0.25"/>
    <row r="46" spans="2:3" s="12" customFormat="1" x14ac:dyDescent="0.25"/>
    <row r="47" spans="2:3" s="12" customFormat="1" x14ac:dyDescent="0.25"/>
    <row r="48" spans="2:3" s="12" customFormat="1" x14ac:dyDescent="0.25"/>
    <row r="49" s="12" customFormat="1" x14ac:dyDescent="0.25"/>
    <row r="50" s="12" customFormat="1" x14ac:dyDescent="0.25"/>
    <row r="51" s="12" customFormat="1" x14ac:dyDescent="0.25"/>
    <row r="52" s="12" customFormat="1" x14ac:dyDescent="0.25"/>
    <row r="53" s="12" customFormat="1" x14ac:dyDescent="0.25"/>
    <row r="54" s="12" customFormat="1" x14ac:dyDescent="0.25"/>
    <row r="55" s="12" customFormat="1" x14ac:dyDescent="0.25"/>
    <row r="56" s="12" customFormat="1" x14ac:dyDescent="0.25"/>
    <row r="57" s="12" customFormat="1" x14ac:dyDescent="0.25"/>
    <row r="58" s="12" customFormat="1" x14ac:dyDescent="0.25"/>
    <row r="59" s="12" customFormat="1" x14ac:dyDescent="0.25"/>
    <row r="60" s="12" customFormat="1" x14ac:dyDescent="0.25"/>
    <row r="61" s="12" customFormat="1" x14ac:dyDescent="0.25"/>
    <row r="62" s="12" customFormat="1" x14ac:dyDescent="0.25"/>
    <row r="63" s="12" customFormat="1" x14ac:dyDescent="0.25"/>
    <row r="64" s="12" customFormat="1" x14ac:dyDescent="0.25"/>
    <row r="65" s="12" customFormat="1" x14ac:dyDescent="0.25"/>
    <row r="66" s="12" customFormat="1" x14ac:dyDescent="0.25"/>
    <row r="67" s="12" customFormat="1" x14ac:dyDescent="0.25"/>
    <row r="68" s="12" customFormat="1" x14ac:dyDescent="0.25"/>
    <row r="69" s="12" customFormat="1" x14ac:dyDescent="0.25"/>
    <row r="70" s="12" customFormat="1" x14ac:dyDescent="0.25"/>
    <row r="71" s="12" customFormat="1" x14ac:dyDescent="0.25"/>
    <row r="72" s="12" customFormat="1" x14ac:dyDescent="0.25"/>
    <row r="73" s="12" customFormat="1" x14ac:dyDescent="0.25"/>
    <row r="74" s="12" customFormat="1" x14ac:dyDescent="0.25"/>
    <row r="75" s="12" customFormat="1" x14ac:dyDescent="0.25"/>
    <row r="76" s="12" customFormat="1" x14ac:dyDescent="0.25"/>
    <row r="77" s="12" customFormat="1" x14ac:dyDescent="0.25"/>
    <row r="78" s="12" customFormat="1" x14ac:dyDescent="0.25"/>
    <row r="79" s="12" customFormat="1" x14ac:dyDescent="0.25"/>
    <row r="80" s="12" customFormat="1" x14ac:dyDescent="0.25"/>
    <row r="81" s="12" customFormat="1" x14ac:dyDescent="0.25"/>
    <row r="82" s="12" customFormat="1" x14ac:dyDescent="0.25"/>
    <row r="83" s="12" customFormat="1" x14ac:dyDescent="0.25"/>
    <row r="84" s="12" customFormat="1" x14ac:dyDescent="0.25"/>
    <row r="85" s="12" customFormat="1" x14ac:dyDescent="0.25"/>
    <row r="86" s="12" customFormat="1" x14ac:dyDescent="0.25"/>
    <row r="87" s="12" customFormat="1" x14ac:dyDescent="0.25"/>
    <row r="88" s="12" customFormat="1" x14ac:dyDescent="0.25"/>
    <row r="89" s="12" customFormat="1" x14ac:dyDescent="0.25"/>
    <row r="90" s="12" customFormat="1" x14ac:dyDescent="0.25"/>
    <row r="91" s="12" customFormat="1" x14ac:dyDescent="0.25"/>
    <row r="92" s="12" customFormat="1" x14ac:dyDescent="0.25"/>
    <row r="93" s="12" customFormat="1" x14ac:dyDescent="0.25"/>
    <row r="94" s="12" customFormat="1" x14ac:dyDescent="0.25"/>
    <row r="95" s="12" customFormat="1" x14ac:dyDescent="0.25"/>
    <row r="96" s="12" customFormat="1" x14ac:dyDescent="0.25"/>
    <row r="97" s="12" customFormat="1" x14ac:dyDescent="0.25"/>
    <row r="98" s="12" customFormat="1" x14ac:dyDescent="0.25"/>
    <row r="99" s="12" customFormat="1" x14ac:dyDescent="0.25"/>
    <row r="100" s="12" customFormat="1" x14ac:dyDescent="0.25"/>
    <row r="101" s="12" customFormat="1" x14ac:dyDescent="0.25"/>
    <row r="102" s="12" customFormat="1" x14ac:dyDescent="0.25"/>
    <row r="103" s="12" customFormat="1" x14ac:dyDescent="0.25"/>
    <row r="104" s="12" customFormat="1" x14ac:dyDescent="0.25"/>
    <row r="105" s="12" customFormat="1" x14ac:dyDescent="0.25"/>
  </sheetData>
  <dataValidations count="1">
    <dataValidation type="list" allowBlank="1" showInputMessage="1" showErrorMessage="1" sqref="C12" xr:uid="{D3BACE67-383C-4CF8-B6F9-CBACB87E1FF6}">
      <formula1>"Tachnical,Admin,HR,Account 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66675</xdr:colOff>
                    <xdr:row>12</xdr:row>
                    <xdr:rowOff>180975</xdr:rowOff>
                  </from>
                  <to>
                    <xdr:col>2</xdr:col>
                    <xdr:colOff>628650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542925</xdr:colOff>
                    <xdr:row>12</xdr:row>
                    <xdr:rowOff>180975</xdr:rowOff>
                  </from>
                  <to>
                    <xdr:col>2</xdr:col>
                    <xdr:colOff>1114425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llectdata">
                <anchor moveWithCells="1" sizeWithCells="1">
                  <from>
                    <xdr:col>3</xdr:col>
                    <xdr:colOff>38100</xdr:colOff>
                    <xdr:row>13</xdr:row>
                    <xdr:rowOff>133350</xdr:rowOff>
                  </from>
                  <to>
                    <xdr:col>4</xdr:col>
                    <xdr:colOff>66675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AFFE-490E-4400-B074-C2CFA663A534}">
  <dimension ref="B2:M7"/>
  <sheetViews>
    <sheetView tabSelected="1" zoomScale="160" zoomScaleNormal="160" workbookViewId="0">
      <selection activeCell="C10" sqref="C10"/>
    </sheetView>
  </sheetViews>
  <sheetFormatPr defaultRowHeight="15" x14ac:dyDescent="0.25"/>
  <cols>
    <col min="1" max="1" width="4.28515625" customWidth="1"/>
    <col min="2" max="2" width="17.7109375" customWidth="1"/>
    <col min="3" max="3" width="16.28515625" customWidth="1"/>
    <col min="4" max="4" width="17.140625" customWidth="1"/>
    <col min="5" max="5" width="15.140625" style="15" customWidth="1"/>
    <col min="6" max="6" width="15" customWidth="1"/>
    <col min="7" max="7" width="12.85546875" customWidth="1"/>
    <col min="8" max="8" width="14.28515625" style="17" customWidth="1"/>
    <col min="9" max="9" width="11" style="17" customWidth="1"/>
    <col min="10" max="10" width="10.7109375" style="17" customWidth="1"/>
    <col min="11" max="11" width="13.5703125" style="17" customWidth="1"/>
    <col min="12" max="12" width="12.28515625" style="17" customWidth="1"/>
    <col min="13" max="13" width="11.42578125" style="17" customWidth="1"/>
  </cols>
  <sheetData>
    <row r="2" spans="2:13" ht="15.75" x14ac:dyDescent="0.25">
      <c r="B2" s="13" t="s">
        <v>1</v>
      </c>
      <c r="C2" s="13" t="s">
        <v>2</v>
      </c>
      <c r="D2" s="13" t="s">
        <v>3</v>
      </c>
      <c r="E2" s="14" t="s">
        <v>4</v>
      </c>
      <c r="F2" s="13" t="s">
        <v>5</v>
      </c>
      <c r="G2" s="13" t="s">
        <v>6</v>
      </c>
      <c r="H2" s="16" t="s">
        <v>7</v>
      </c>
      <c r="I2" s="16" t="s">
        <v>8</v>
      </c>
      <c r="J2" s="16" t="s">
        <v>9</v>
      </c>
      <c r="K2" s="16" t="s">
        <v>10</v>
      </c>
      <c r="L2" s="16" t="s">
        <v>11</v>
      </c>
      <c r="M2" s="18" t="s">
        <v>12</v>
      </c>
    </row>
    <row r="3" spans="2:13" x14ac:dyDescent="0.25">
      <c r="B3" t="s">
        <v>28</v>
      </c>
      <c r="C3" t="s">
        <v>29</v>
      </c>
      <c r="D3" t="s">
        <v>30</v>
      </c>
      <c r="E3" s="15">
        <v>40461</v>
      </c>
      <c r="F3" t="s">
        <v>25</v>
      </c>
      <c r="G3" t="s">
        <v>18</v>
      </c>
      <c r="H3" s="17">
        <v>30000</v>
      </c>
      <c r="I3" s="17">
        <v>6000</v>
      </c>
      <c r="J3" s="17">
        <v>3000</v>
      </c>
      <c r="K3" s="17">
        <v>1600</v>
      </c>
      <c r="L3" s="17">
        <v>500</v>
      </c>
      <c r="M3" s="17">
        <v>40100</v>
      </c>
    </row>
    <row r="4" spans="2:13" x14ac:dyDescent="0.25">
      <c r="B4" t="s">
        <v>26</v>
      </c>
      <c r="C4" t="s">
        <v>31</v>
      </c>
      <c r="D4" t="s">
        <v>27</v>
      </c>
      <c r="E4" s="15">
        <v>28814</v>
      </c>
      <c r="F4" t="s">
        <v>25</v>
      </c>
      <c r="G4" t="s">
        <v>18</v>
      </c>
      <c r="H4" s="17">
        <v>20000</v>
      </c>
      <c r="I4" s="17">
        <v>5000</v>
      </c>
      <c r="J4" s="17">
        <v>2000</v>
      </c>
      <c r="K4" s="17">
        <v>2000</v>
      </c>
      <c r="L4" s="17">
        <v>1500</v>
      </c>
      <c r="M4" s="17">
        <v>27500</v>
      </c>
    </row>
    <row r="5" spans="2:13" x14ac:dyDescent="0.25">
      <c r="B5" t="s">
        <v>22</v>
      </c>
      <c r="C5" t="s">
        <v>23</v>
      </c>
      <c r="D5" t="s">
        <v>24</v>
      </c>
      <c r="E5" s="15">
        <v>31819</v>
      </c>
      <c r="F5" t="s">
        <v>25</v>
      </c>
      <c r="G5" t="s">
        <v>18</v>
      </c>
      <c r="H5" s="17">
        <v>24000</v>
      </c>
      <c r="I5" s="17">
        <v>13000</v>
      </c>
      <c r="J5" s="17">
        <v>6000</v>
      </c>
      <c r="K5" s="17">
        <v>1200</v>
      </c>
      <c r="L5" s="17">
        <v>900</v>
      </c>
      <c r="M5" s="17">
        <v>43300</v>
      </c>
    </row>
    <row r="6" spans="2:13" x14ac:dyDescent="0.25">
      <c r="B6" t="s">
        <v>13</v>
      </c>
      <c r="C6" t="s">
        <v>19</v>
      </c>
      <c r="D6" t="s">
        <v>20</v>
      </c>
      <c r="E6" s="15">
        <v>28560</v>
      </c>
      <c r="F6" t="s">
        <v>16</v>
      </c>
      <c r="G6" t="s">
        <v>21</v>
      </c>
      <c r="H6" s="17">
        <v>28000</v>
      </c>
      <c r="I6" s="17">
        <v>12500</v>
      </c>
      <c r="J6" s="17">
        <v>4500</v>
      </c>
      <c r="K6" s="17">
        <v>1600</v>
      </c>
      <c r="L6" s="17">
        <v>1200</v>
      </c>
      <c r="M6" s="17">
        <v>45400</v>
      </c>
    </row>
    <row r="7" spans="2:13" x14ac:dyDescent="0.25">
      <c r="B7" t="s">
        <v>13</v>
      </c>
      <c r="C7" t="s">
        <v>14</v>
      </c>
      <c r="D7" t="s">
        <v>15</v>
      </c>
      <c r="E7" s="15">
        <v>29262</v>
      </c>
      <c r="F7" t="s">
        <v>17</v>
      </c>
      <c r="G7" t="s">
        <v>18</v>
      </c>
      <c r="H7" s="17">
        <v>40000</v>
      </c>
      <c r="I7" s="17">
        <v>18000</v>
      </c>
      <c r="J7" s="17">
        <v>6000</v>
      </c>
      <c r="K7" s="17">
        <v>5000</v>
      </c>
      <c r="L7" s="17">
        <v>1700</v>
      </c>
      <c r="M7" s="17">
        <v>67300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Riya Patel</dc:creator>
  <cp:lastModifiedBy>Riya Patel</cp:lastModifiedBy>
  <dcterms:created xsi:type="dcterms:W3CDTF">2026-05-12T09:07:37Z</dcterms:created>
  <dcterms:modified xsi:type="dcterms:W3CDTF">2026-06-10T15:48:08Z</dcterms:modified>
</cp:coreProperties>
</file>