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5B57AFBE-A55E-4C7C-A33C-F31B369904AB}" xr6:coauthVersionLast="47" xr6:coauthVersionMax="47" xr10:uidLastSave="{00000000-0000-0000-0000-000000000000}"/>
  <bookViews>
    <workbookView xWindow="-120" yWindow="-120" windowWidth="29040" windowHeight="15840" xr2:uid="{B0F95CAA-8F02-4728-891D-03C573879453}"/>
  </bookViews>
  <sheets>
    <sheet name="Attendance Sheet" sheetId="1" r:id="rId1"/>
  </sheets>
  <definedNames>
    <definedName name="_xlnm.Print_Area" localSheetId="0">'Attendance Sheet'!$A$1:$AM$21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5" i="1" l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2" i="1"/>
  <c r="AM23" i="1"/>
  <c r="AM24" i="1"/>
  <c r="AM25" i="1"/>
  <c r="AM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4" i="1"/>
  <c r="AK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M21" i="1" s="1"/>
  <c r="AI22" i="1"/>
  <c r="AI23" i="1"/>
  <c r="AI24" i="1"/>
  <c r="AI25" i="1"/>
  <c r="AI4" i="1"/>
</calcChain>
</file>

<file path=xl/sharedStrings.xml><?xml version="1.0" encoding="utf-8"?>
<sst xmlns="http://schemas.openxmlformats.org/spreadsheetml/2006/main" count="757" uniqueCount="61">
  <si>
    <t>Emp id</t>
  </si>
  <si>
    <t>Name</t>
  </si>
  <si>
    <t>Designation</t>
  </si>
  <si>
    <t>Total days</t>
  </si>
  <si>
    <t>Absent</t>
  </si>
  <si>
    <t>Half day</t>
  </si>
  <si>
    <t>Leave</t>
  </si>
  <si>
    <t>Present</t>
  </si>
  <si>
    <t>ATTENDANCE SHEET</t>
  </si>
  <si>
    <t>ES101</t>
  </si>
  <si>
    <t>ES102</t>
  </si>
  <si>
    <t>ES103</t>
  </si>
  <si>
    <t>ES104</t>
  </si>
  <si>
    <t>ES105</t>
  </si>
  <si>
    <t>ES106</t>
  </si>
  <si>
    <t>ES107</t>
  </si>
  <si>
    <t>ES108</t>
  </si>
  <si>
    <t>ES109</t>
  </si>
  <si>
    <t>ES110</t>
  </si>
  <si>
    <t>ES111</t>
  </si>
  <si>
    <t>ES112</t>
  </si>
  <si>
    <t>ES113</t>
  </si>
  <si>
    <t>ES114</t>
  </si>
  <si>
    <t>ES115</t>
  </si>
  <si>
    <t>ES116</t>
  </si>
  <si>
    <t>ES117</t>
  </si>
  <si>
    <t>ES118</t>
  </si>
  <si>
    <t>ES119</t>
  </si>
  <si>
    <t>ES120</t>
  </si>
  <si>
    <t>ES121</t>
  </si>
  <si>
    <t>ES122</t>
  </si>
  <si>
    <t>Rajesh</t>
  </si>
  <si>
    <t>mahesh</t>
  </si>
  <si>
    <t>Mohit</t>
  </si>
  <si>
    <t>Rohit</t>
  </si>
  <si>
    <t>Sunil</t>
  </si>
  <si>
    <t>Bhavin</t>
  </si>
  <si>
    <t>Suresh</t>
  </si>
  <si>
    <t>Pretesh</t>
  </si>
  <si>
    <t>Aarav</t>
  </si>
  <si>
    <t>Ved</t>
  </si>
  <si>
    <t>Sachin</t>
  </si>
  <si>
    <t>Ashok</t>
  </si>
  <si>
    <t>Rudra</t>
  </si>
  <si>
    <t>Durva</t>
  </si>
  <si>
    <t>Krisha</t>
  </si>
  <si>
    <t>Helly</t>
  </si>
  <si>
    <t>Janvi</t>
  </si>
  <si>
    <t>Arohi</t>
  </si>
  <si>
    <t>Amit</t>
  </si>
  <si>
    <t>Jignesh</t>
  </si>
  <si>
    <t>Jeet</t>
  </si>
  <si>
    <t>Zeel</t>
  </si>
  <si>
    <t>Manager</t>
  </si>
  <si>
    <t>Asst.Manager</t>
  </si>
  <si>
    <t>Supervisor</t>
  </si>
  <si>
    <t>staff</t>
  </si>
  <si>
    <t>p</t>
  </si>
  <si>
    <t>h</t>
  </si>
  <si>
    <t>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</si>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</sst>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925E-516E-47AE-8628-D9CF0C86001B}">
  <dimension ref="A1:AM25"/>
  <sheetViews>
    <sheetView tabSelected="1" topLeftCell="C1" zoomScale="70" zoomScaleNormal="70" zoomScaleSheetLayoutView="50" workbookViewId="0">
      <selection activeCell="AC48" sqref="AC48"/>
    </sheetView>
  </sheetViews>
  <sheetFormatPr defaultRowHeight="15" x14ac:dyDescent="0.25"/>
  <cols>
    <col min="3" max="3" width="13.140625" bestFit="1" customWidth="1"/>
    <col min="4" max="4" width="9.5703125" bestFit="1" customWidth="1"/>
    <col min="5" max="12" width="10" bestFit="1" customWidth="1"/>
    <col min="13" max="13" width="10.7109375" bestFit="1" customWidth="1"/>
    <col min="14" max="14" width="10.28515625" bestFit="1" customWidth="1"/>
    <col min="15" max="22" width="10.7109375" bestFit="1" customWidth="1"/>
    <col min="23" max="23" width="11.140625" bestFit="1" customWidth="1"/>
    <col min="24" max="24" width="10.7109375" bestFit="1" customWidth="1"/>
    <col min="25" max="33" width="11.140625" bestFit="1" customWidth="1"/>
    <col min="34" max="34" width="10.7109375" bestFit="1" customWidth="1"/>
    <col min="35" max="35" width="9.85546875" bestFit="1" customWidth="1"/>
  </cols>
  <sheetData>
    <row r="1" spans="1:39" x14ac:dyDescent="0.25">
      <c r="A1" s="4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2" t="s">
        <v>0</v>
      </c>
      <c r="B3" s="2" t="s">
        <v>1</v>
      </c>
      <c r="C3" s="2" t="s">
        <v>2</v>
      </c>
      <c r="D3" s="3">
        <v>45047</v>
      </c>
      <c r="E3" s="3">
        <v>45048</v>
      </c>
      <c r="F3" s="3">
        <v>45049</v>
      </c>
      <c r="G3" s="3">
        <v>45050</v>
      </c>
      <c r="H3" s="3">
        <v>45051</v>
      </c>
      <c r="I3" s="3">
        <v>45052</v>
      </c>
      <c r="J3" s="3">
        <v>45053</v>
      </c>
      <c r="K3" s="3">
        <v>45054</v>
      </c>
      <c r="L3" s="3">
        <v>45055</v>
      </c>
      <c r="M3" s="3">
        <v>45056</v>
      </c>
      <c r="N3" s="3">
        <v>45057</v>
      </c>
      <c r="O3" s="3">
        <v>45058</v>
      </c>
      <c r="P3" s="3">
        <v>45059</v>
      </c>
      <c r="Q3" s="3">
        <v>45060</v>
      </c>
      <c r="R3" s="3">
        <v>45061</v>
      </c>
      <c r="S3" s="3">
        <v>45062</v>
      </c>
      <c r="T3" s="3">
        <v>45063</v>
      </c>
      <c r="U3" s="3">
        <v>45064</v>
      </c>
      <c r="V3" s="3">
        <v>45065</v>
      </c>
      <c r="W3" s="3">
        <v>45066</v>
      </c>
      <c r="X3" s="3">
        <v>45067</v>
      </c>
      <c r="Y3" s="3">
        <v>45068</v>
      </c>
      <c r="Z3" s="3">
        <v>45069</v>
      </c>
      <c r="AA3" s="3">
        <v>45070</v>
      </c>
      <c r="AB3" s="3">
        <v>45071</v>
      </c>
      <c r="AC3" s="3">
        <v>45072</v>
      </c>
      <c r="AD3" s="3">
        <v>45073</v>
      </c>
      <c r="AE3" s="3">
        <v>45074</v>
      </c>
      <c r="AF3" s="3">
        <v>45075</v>
      </c>
      <c r="AG3" s="3">
        <v>45076</v>
      </c>
      <c r="AH3" s="3">
        <v>45077</v>
      </c>
      <c r="AI3" s="3" t="s">
        <v>3</v>
      </c>
      <c r="AJ3" s="2" t="s">
        <v>4</v>
      </c>
      <c r="AK3" s="2" t="s">
        <v>5</v>
      </c>
      <c r="AL3" s="3" t="s">
        <v>6</v>
      </c>
      <c r="AM3" s="3" t="s">
        <v>7</v>
      </c>
    </row>
    <row r="4" spans="1:39" x14ac:dyDescent="0.25">
      <c r="A4" s="1" t="s">
        <v>9</v>
      </c>
      <c r="B4" s="1" t="s">
        <v>31</v>
      </c>
      <c r="C4" s="1" t="s">
        <v>53</v>
      </c>
      <c r="D4" s="1" t="s">
        <v>57</v>
      </c>
      <c r="E4" s="1" t="s">
        <v>60</v>
      </c>
      <c r="F4" s="1" t="s">
        <v>57</v>
      </c>
      <c r="G4" s="1" t="s">
        <v>57</v>
      </c>
      <c r="H4" s="1" t="s">
        <v>59</v>
      </c>
      <c r="I4" s="1" t="s">
        <v>57</v>
      </c>
      <c r="J4" s="1" t="s">
        <v>58</v>
      </c>
      <c r="K4" s="1" t="s">
        <v>57</v>
      </c>
      <c r="L4" s="1" t="s">
        <v>59</v>
      </c>
      <c r="M4" s="1" t="s">
        <v>57</v>
      </c>
      <c r="N4" s="1" t="s">
        <v>60</v>
      </c>
      <c r="O4" s="1" t="s">
        <v>57</v>
      </c>
      <c r="P4" s="1" t="s">
        <v>58</v>
      </c>
      <c r="Q4" s="1" t="s">
        <v>57</v>
      </c>
      <c r="R4" s="1" t="s">
        <v>57</v>
      </c>
      <c r="S4" s="1" t="s">
        <v>57</v>
      </c>
      <c r="T4" s="1" t="s">
        <v>57</v>
      </c>
      <c r="U4" s="1" t="s">
        <v>60</v>
      </c>
      <c r="V4" s="1" t="s">
        <v>59</v>
      </c>
      <c r="W4" s="1" t="s">
        <v>57</v>
      </c>
      <c r="X4" s="1" t="s">
        <v>57</v>
      </c>
      <c r="Y4" s="1" t="s">
        <v>57</v>
      </c>
      <c r="Z4" s="1" t="s">
        <v>60</v>
      </c>
      <c r="AA4" s="1" t="s">
        <v>57</v>
      </c>
      <c r="AB4" s="1" t="s">
        <v>57</v>
      </c>
      <c r="AC4" s="1" t="s">
        <v>57</v>
      </c>
      <c r="AD4" s="1" t="s">
        <v>57</v>
      </c>
      <c r="AE4" s="1" t="s">
        <v>60</v>
      </c>
      <c r="AF4" s="1" t="s">
        <v>57</v>
      </c>
      <c r="AG4" s="1" t="s">
        <v>57</v>
      </c>
      <c r="AH4" s="1" t="s">
        <v>58</v>
      </c>
      <c r="AI4" s="1">
        <f>COUNTA(D4:AH4)</f>
        <v>31</v>
      </c>
      <c r="AJ4" s="1">
        <f>COUNTIF(D4:AH4,"a")</f>
        <v>5</v>
      </c>
      <c r="AK4" s="1">
        <f>COUNTIF(D4:AH4,"h")</f>
        <v>3</v>
      </c>
      <c r="AL4" s="1">
        <f>COUNTIF(D4:AH4,"l")</f>
        <v>3</v>
      </c>
      <c r="AM4" s="1">
        <f>AI4-AJ4-(AK4/2)</f>
        <v>24.5</v>
      </c>
    </row>
    <row r="5" spans="1:39" x14ac:dyDescent="0.25">
      <c r="A5" s="1" t="s">
        <v>10</v>
      </c>
      <c r="B5" s="1" t="s">
        <v>32</v>
      </c>
      <c r="C5" s="1" t="s">
        <v>54</v>
      </c>
      <c r="D5" s="1" t="s">
        <v>57</v>
      </c>
      <c r="E5" s="1" t="s">
        <v>57</v>
      </c>
      <c r="F5" s="1" t="s">
        <v>57</v>
      </c>
      <c r="G5" s="1" t="s">
        <v>57</v>
      </c>
      <c r="H5" s="1" t="s">
        <v>57</v>
      </c>
      <c r="I5" s="1" t="s">
        <v>57</v>
      </c>
      <c r="J5" s="1" t="s">
        <v>57</v>
      </c>
      <c r="K5" s="1" t="s">
        <v>58</v>
      </c>
      <c r="L5" s="1" t="s">
        <v>57</v>
      </c>
      <c r="M5" s="1" t="s">
        <v>57</v>
      </c>
      <c r="N5" s="1" t="s">
        <v>57</v>
      </c>
      <c r="O5" s="1" t="s">
        <v>57</v>
      </c>
      <c r="P5" s="1" t="s">
        <v>57</v>
      </c>
      <c r="Q5" s="1" t="s">
        <v>57</v>
      </c>
      <c r="R5" s="1" t="s">
        <v>57</v>
      </c>
      <c r="S5" s="1" t="s">
        <v>57</v>
      </c>
      <c r="T5" s="1" t="s">
        <v>57</v>
      </c>
      <c r="U5" s="1" t="s">
        <v>57</v>
      </c>
      <c r="V5" s="1" t="s">
        <v>57</v>
      </c>
      <c r="W5" s="1" t="s">
        <v>57</v>
      </c>
      <c r="X5" s="1" t="s">
        <v>57</v>
      </c>
      <c r="Y5" s="1" t="s">
        <v>57</v>
      </c>
      <c r="Z5" s="1" t="s">
        <v>57</v>
      </c>
      <c r="AA5" s="1" t="s">
        <v>57</v>
      </c>
      <c r="AB5" s="1" t="s">
        <v>58</v>
      </c>
      <c r="AC5" s="1" t="s">
        <v>57</v>
      </c>
      <c r="AD5" s="1" t="s">
        <v>57</v>
      </c>
      <c r="AE5" s="1" t="s">
        <v>57</v>
      </c>
      <c r="AF5" s="1" t="s">
        <v>57</v>
      </c>
      <c r="AG5" s="1" t="s">
        <v>57</v>
      </c>
      <c r="AH5" s="1" t="s">
        <v>60</v>
      </c>
      <c r="AI5" s="1">
        <f t="shared" ref="AI5:AI25" si="0">COUNTA(D5:AH5)</f>
        <v>31</v>
      </c>
      <c r="AJ5" s="1">
        <f t="shared" ref="AJ5:AJ25" si="1">COUNTIF(D5:AH5,"a")</f>
        <v>1</v>
      </c>
      <c r="AK5" s="1">
        <f t="shared" ref="AK5:AK25" si="2">COUNTIF(D5:AH5,"h")</f>
        <v>2</v>
      </c>
      <c r="AL5" s="1">
        <f t="shared" ref="AL5:AL25" si="3">COUNTIF(D5:AH5,"l")</f>
        <v>0</v>
      </c>
      <c r="AM5" s="1">
        <f t="shared" ref="AM5:AM25" si="4">AI5-AJ5-(AK5/2)</f>
        <v>29</v>
      </c>
    </row>
    <row r="6" spans="1:39" x14ac:dyDescent="0.25">
      <c r="A6" s="1" t="s">
        <v>11</v>
      </c>
      <c r="B6" s="1" t="s">
        <v>33</v>
      </c>
      <c r="C6" s="1" t="s">
        <v>55</v>
      </c>
      <c r="D6" s="1" t="s">
        <v>57</v>
      </c>
      <c r="E6" s="1" t="s">
        <v>57</v>
      </c>
      <c r="F6" s="1" t="s">
        <v>57</v>
      </c>
      <c r="G6" s="1" t="s">
        <v>58</v>
      </c>
      <c r="H6" s="1" t="s">
        <v>57</v>
      </c>
      <c r="I6" s="1" t="s">
        <v>59</v>
      </c>
      <c r="J6" s="1" t="s">
        <v>57</v>
      </c>
      <c r="K6" s="1" t="s">
        <v>57</v>
      </c>
      <c r="L6" s="1" t="s">
        <v>58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  <c r="T6" s="1" t="s">
        <v>57</v>
      </c>
      <c r="U6" s="1" t="s">
        <v>57</v>
      </c>
      <c r="V6" s="1" t="s">
        <v>57</v>
      </c>
      <c r="W6" s="1" t="s">
        <v>57</v>
      </c>
      <c r="X6" s="1" t="s">
        <v>57</v>
      </c>
      <c r="Y6" s="1" t="s">
        <v>57</v>
      </c>
      <c r="Z6" s="1" t="s">
        <v>57</v>
      </c>
      <c r="AA6" s="1" t="s">
        <v>57</v>
      </c>
      <c r="AB6" s="1" t="s">
        <v>57</v>
      </c>
      <c r="AC6" s="1" t="s">
        <v>57</v>
      </c>
      <c r="AD6" s="1" t="s">
        <v>57</v>
      </c>
      <c r="AE6" s="1" t="s">
        <v>58</v>
      </c>
      <c r="AF6" s="1" t="s">
        <v>57</v>
      </c>
      <c r="AG6" s="1" t="s">
        <v>60</v>
      </c>
      <c r="AH6" s="1" t="s">
        <v>57</v>
      </c>
      <c r="AI6" s="1">
        <f t="shared" si="0"/>
        <v>31</v>
      </c>
      <c r="AJ6" s="1">
        <f t="shared" si="1"/>
        <v>1</v>
      </c>
      <c r="AK6" s="1">
        <f t="shared" si="2"/>
        <v>3</v>
      </c>
      <c r="AL6" s="1">
        <f t="shared" si="3"/>
        <v>1</v>
      </c>
      <c r="AM6" s="1">
        <f t="shared" si="4"/>
        <v>28.5</v>
      </c>
    </row>
    <row r="7" spans="1:39" x14ac:dyDescent="0.25">
      <c r="A7" s="1" t="s">
        <v>12</v>
      </c>
      <c r="B7" s="1" t="s">
        <v>34</v>
      </c>
      <c r="C7" s="1" t="s">
        <v>56</v>
      </c>
      <c r="D7" s="1" t="s">
        <v>57</v>
      </c>
      <c r="E7" s="1" t="s">
        <v>58</v>
      </c>
      <c r="F7" s="1" t="s">
        <v>57</v>
      </c>
      <c r="G7" s="1" t="s">
        <v>57</v>
      </c>
      <c r="H7" s="1" t="s">
        <v>59</v>
      </c>
      <c r="I7" s="1" t="s">
        <v>57</v>
      </c>
      <c r="J7" s="1" t="s">
        <v>57</v>
      </c>
      <c r="K7" s="1" t="s">
        <v>57</v>
      </c>
      <c r="L7" s="1" t="s">
        <v>57</v>
      </c>
      <c r="M7" s="1" t="s">
        <v>57</v>
      </c>
      <c r="N7" s="1" t="s">
        <v>57</v>
      </c>
      <c r="O7" s="1" t="s">
        <v>58</v>
      </c>
      <c r="P7" s="1" t="s">
        <v>57</v>
      </c>
      <c r="Q7" s="1" t="s">
        <v>57</v>
      </c>
      <c r="R7" s="1" t="s">
        <v>57</v>
      </c>
      <c r="S7" s="1" t="s">
        <v>57</v>
      </c>
      <c r="T7" s="1" t="s">
        <v>57</v>
      </c>
      <c r="U7" s="1" t="s">
        <v>57</v>
      </c>
      <c r="V7" s="1" t="s">
        <v>57</v>
      </c>
      <c r="W7" s="1" t="s">
        <v>57</v>
      </c>
      <c r="X7" s="1" t="s">
        <v>58</v>
      </c>
      <c r="Y7" s="1" t="s">
        <v>57</v>
      </c>
      <c r="Z7" s="1" t="s">
        <v>57</v>
      </c>
      <c r="AA7" s="1" t="s">
        <v>57</v>
      </c>
      <c r="AB7" s="1" t="s">
        <v>57</v>
      </c>
      <c r="AC7" s="1" t="s">
        <v>57</v>
      </c>
      <c r="AD7" s="1" t="s">
        <v>57</v>
      </c>
      <c r="AE7" s="1" t="s">
        <v>57</v>
      </c>
      <c r="AF7" s="1" t="s">
        <v>57</v>
      </c>
      <c r="AG7" s="1" t="s">
        <v>57</v>
      </c>
      <c r="AH7" s="1" t="s">
        <v>57</v>
      </c>
      <c r="AI7" s="1">
        <f t="shared" si="0"/>
        <v>31</v>
      </c>
      <c r="AJ7" s="1">
        <f t="shared" si="1"/>
        <v>0</v>
      </c>
      <c r="AK7" s="1">
        <f t="shared" si="2"/>
        <v>3</v>
      </c>
      <c r="AL7" s="1">
        <f t="shared" si="3"/>
        <v>1</v>
      </c>
      <c r="AM7" s="1">
        <f t="shared" si="4"/>
        <v>29.5</v>
      </c>
    </row>
    <row r="8" spans="1:39" x14ac:dyDescent="0.25">
      <c r="A8" s="1" t="s">
        <v>13</v>
      </c>
      <c r="B8" s="1" t="s">
        <v>35</v>
      </c>
      <c r="C8" s="1" t="s">
        <v>56</v>
      </c>
      <c r="D8" s="1" t="s">
        <v>57</v>
      </c>
      <c r="E8" s="1" t="s">
        <v>57</v>
      </c>
      <c r="F8" s="1" t="s">
        <v>57</v>
      </c>
      <c r="G8" s="1" t="s">
        <v>57</v>
      </c>
      <c r="H8" s="1" t="s">
        <v>57</v>
      </c>
      <c r="I8" s="1" t="s">
        <v>57</v>
      </c>
      <c r="J8" s="1" t="s">
        <v>57</v>
      </c>
      <c r="K8" s="1" t="s">
        <v>57</v>
      </c>
      <c r="L8" s="1" t="s">
        <v>57</v>
      </c>
      <c r="M8" s="1" t="s">
        <v>58</v>
      </c>
      <c r="N8" s="1" t="s">
        <v>57</v>
      </c>
      <c r="O8" s="1" t="s">
        <v>57</v>
      </c>
      <c r="P8" s="1" t="s">
        <v>57</v>
      </c>
      <c r="Q8" s="1" t="s">
        <v>57</v>
      </c>
      <c r="R8" s="1" t="s">
        <v>57</v>
      </c>
      <c r="S8" s="1" t="s">
        <v>57</v>
      </c>
      <c r="T8" s="1" t="s">
        <v>57</v>
      </c>
      <c r="U8" s="1" t="s">
        <v>58</v>
      </c>
      <c r="V8" s="1" t="s">
        <v>60</v>
      </c>
      <c r="W8" s="1" t="s">
        <v>57</v>
      </c>
      <c r="X8" s="1" t="s">
        <v>57</v>
      </c>
      <c r="Y8" s="1" t="s">
        <v>57</v>
      </c>
      <c r="Z8" s="1" t="s">
        <v>60</v>
      </c>
      <c r="AA8" s="1" t="s">
        <v>57</v>
      </c>
      <c r="AB8" s="1" t="s">
        <v>57</v>
      </c>
      <c r="AC8" s="1" t="s">
        <v>60</v>
      </c>
      <c r="AD8" s="1" t="s">
        <v>57</v>
      </c>
      <c r="AE8" s="1" t="s">
        <v>57</v>
      </c>
      <c r="AF8" s="1" t="s">
        <v>57</v>
      </c>
      <c r="AG8" s="1" t="s">
        <v>60</v>
      </c>
      <c r="AH8" s="1" t="s">
        <v>57</v>
      </c>
      <c r="AI8" s="1">
        <f t="shared" si="0"/>
        <v>31</v>
      </c>
      <c r="AJ8" s="1">
        <f t="shared" si="1"/>
        <v>4</v>
      </c>
      <c r="AK8" s="1">
        <f t="shared" si="2"/>
        <v>2</v>
      </c>
      <c r="AL8" s="1">
        <f t="shared" si="3"/>
        <v>0</v>
      </c>
      <c r="AM8" s="1">
        <f t="shared" si="4"/>
        <v>26</v>
      </c>
    </row>
    <row r="9" spans="1:39" x14ac:dyDescent="0.25">
      <c r="A9" s="1" t="s">
        <v>14</v>
      </c>
      <c r="B9" s="1" t="s">
        <v>36</v>
      </c>
      <c r="C9" s="1" t="s">
        <v>56</v>
      </c>
      <c r="D9" s="1" t="s">
        <v>58</v>
      </c>
      <c r="E9" s="1" t="s">
        <v>57</v>
      </c>
      <c r="F9" s="1" t="s">
        <v>57</v>
      </c>
      <c r="G9" s="1" t="s">
        <v>57</v>
      </c>
      <c r="H9" s="1" t="s">
        <v>57</v>
      </c>
      <c r="I9" s="1" t="s">
        <v>58</v>
      </c>
      <c r="J9" s="1" t="s">
        <v>57</v>
      </c>
      <c r="K9" s="1" t="s">
        <v>57</v>
      </c>
      <c r="L9" s="1" t="s">
        <v>57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57</v>
      </c>
      <c r="S9" s="1" t="s">
        <v>57</v>
      </c>
      <c r="T9" s="1" t="s">
        <v>57</v>
      </c>
      <c r="U9" s="1" t="s">
        <v>57</v>
      </c>
      <c r="V9" s="1" t="s">
        <v>57</v>
      </c>
      <c r="W9" s="1" t="s">
        <v>57</v>
      </c>
      <c r="X9" s="1" t="s">
        <v>57</v>
      </c>
      <c r="Y9" s="1" t="s">
        <v>57</v>
      </c>
      <c r="Z9" s="1" t="s">
        <v>60</v>
      </c>
      <c r="AA9" s="1" t="s">
        <v>57</v>
      </c>
      <c r="AB9" s="1" t="s">
        <v>57</v>
      </c>
      <c r="AC9" s="1" t="s">
        <v>57</v>
      </c>
      <c r="AD9" s="1" t="s">
        <v>57</v>
      </c>
      <c r="AE9" s="1" t="s">
        <v>57</v>
      </c>
      <c r="AF9" s="1" t="s">
        <v>57</v>
      </c>
      <c r="AG9" s="1" t="s">
        <v>57</v>
      </c>
      <c r="AH9" s="1" t="s">
        <v>58</v>
      </c>
      <c r="AI9" s="1">
        <f t="shared" si="0"/>
        <v>31</v>
      </c>
      <c r="AJ9" s="1">
        <f t="shared" si="1"/>
        <v>1</v>
      </c>
      <c r="AK9" s="1">
        <f t="shared" si="2"/>
        <v>3</v>
      </c>
      <c r="AL9" s="1">
        <f t="shared" si="3"/>
        <v>0</v>
      </c>
      <c r="AM9" s="1">
        <f t="shared" si="4"/>
        <v>28.5</v>
      </c>
    </row>
    <row r="10" spans="1:39" x14ac:dyDescent="0.25">
      <c r="A10" s="1" t="s">
        <v>15</v>
      </c>
      <c r="B10" s="1" t="s">
        <v>37</v>
      </c>
      <c r="C10" s="1" t="s">
        <v>56</v>
      </c>
      <c r="D10" s="1" t="s">
        <v>57</v>
      </c>
      <c r="E10" s="1" t="s">
        <v>57</v>
      </c>
      <c r="F10" s="1" t="s">
        <v>59</v>
      </c>
      <c r="G10" s="1" t="s">
        <v>57</v>
      </c>
      <c r="H10" s="1" t="s">
        <v>57</v>
      </c>
      <c r="I10" s="1" t="s">
        <v>57</v>
      </c>
      <c r="J10" s="1" t="s">
        <v>59</v>
      </c>
      <c r="K10" s="1" t="s">
        <v>58</v>
      </c>
      <c r="L10" s="1" t="s">
        <v>57</v>
      </c>
      <c r="M10" s="1" t="s">
        <v>57</v>
      </c>
      <c r="N10" s="1" t="s">
        <v>57</v>
      </c>
      <c r="O10" s="1" t="s">
        <v>57</v>
      </c>
      <c r="P10" s="1" t="s">
        <v>59</v>
      </c>
      <c r="Q10" s="1" t="s">
        <v>57</v>
      </c>
      <c r="R10" s="1" t="s">
        <v>57</v>
      </c>
      <c r="S10" s="1" t="s">
        <v>57</v>
      </c>
      <c r="T10" s="1" t="s">
        <v>57</v>
      </c>
      <c r="U10" s="1" t="s">
        <v>57</v>
      </c>
      <c r="V10" s="1" t="s">
        <v>57</v>
      </c>
      <c r="W10" s="1" t="s">
        <v>58</v>
      </c>
      <c r="X10" s="1" t="s">
        <v>57</v>
      </c>
      <c r="Y10" s="1" t="s">
        <v>57</v>
      </c>
      <c r="Z10" s="1" t="s">
        <v>57</v>
      </c>
      <c r="AA10" s="1" t="s">
        <v>57</v>
      </c>
      <c r="AB10" s="1" t="s">
        <v>57</v>
      </c>
      <c r="AC10" s="1" t="s">
        <v>57</v>
      </c>
      <c r="AD10" s="1" t="s">
        <v>57</v>
      </c>
      <c r="AE10" s="1" t="s">
        <v>57</v>
      </c>
      <c r="AF10" s="1" t="s">
        <v>57</v>
      </c>
      <c r="AG10" s="1" t="s">
        <v>57</v>
      </c>
      <c r="AH10" s="1" t="s">
        <v>60</v>
      </c>
      <c r="AI10" s="1">
        <f t="shared" si="0"/>
        <v>31</v>
      </c>
      <c r="AJ10" s="1">
        <f t="shared" si="1"/>
        <v>1</v>
      </c>
      <c r="AK10" s="1">
        <f t="shared" si="2"/>
        <v>2</v>
      </c>
      <c r="AL10" s="1">
        <f t="shared" si="3"/>
        <v>3</v>
      </c>
      <c r="AM10" s="1">
        <f t="shared" si="4"/>
        <v>29</v>
      </c>
    </row>
    <row r="11" spans="1:39" x14ac:dyDescent="0.25">
      <c r="A11" s="1" t="s">
        <v>16</v>
      </c>
      <c r="B11" s="1" t="s">
        <v>38</v>
      </c>
      <c r="C11" s="1" t="s">
        <v>56</v>
      </c>
      <c r="D11" s="1" t="s">
        <v>57</v>
      </c>
      <c r="E11" s="1" t="s">
        <v>57</v>
      </c>
      <c r="F11" s="1" t="s">
        <v>57</v>
      </c>
      <c r="G11" s="1" t="s">
        <v>59</v>
      </c>
      <c r="H11" s="1" t="s">
        <v>57</v>
      </c>
      <c r="I11" s="1" t="s">
        <v>57</v>
      </c>
      <c r="J11" s="1" t="s">
        <v>57</v>
      </c>
      <c r="K11" s="1" t="s">
        <v>57</v>
      </c>
      <c r="L11" s="1" t="s">
        <v>57</v>
      </c>
      <c r="M11" s="1" t="s">
        <v>57</v>
      </c>
      <c r="N11" s="1" t="s">
        <v>58</v>
      </c>
      <c r="O11" s="1" t="s">
        <v>59</v>
      </c>
      <c r="P11" s="1" t="s">
        <v>57</v>
      </c>
      <c r="Q11" s="1" t="s">
        <v>57</v>
      </c>
      <c r="R11" s="1" t="s">
        <v>57</v>
      </c>
      <c r="S11" s="1" t="s">
        <v>57</v>
      </c>
      <c r="T11" s="1" t="s">
        <v>57</v>
      </c>
      <c r="U11" s="1" t="s">
        <v>57</v>
      </c>
      <c r="V11" s="1" t="s">
        <v>57</v>
      </c>
      <c r="W11" s="1" t="s">
        <v>57</v>
      </c>
      <c r="X11" s="1" t="s">
        <v>57</v>
      </c>
      <c r="Y11" s="1" t="s">
        <v>57</v>
      </c>
      <c r="Z11" s="1" t="s">
        <v>57</v>
      </c>
      <c r="AA11" s="1" t="s">
        <v>57</v>
      </c>
      <c r="AB11" s="1" t="s">
        <v>57</v>
      </c>
      <c r="AC11" s="1" t="s">
        <v>57</v>
      </c>
      <c r="AD11" s="1" t="s">
        <v>60</v>
      </c>
      <c r="AE11" s="1" t="s">
        <v>57</v>
      </c>
      <c r="AF11" s="1" t="s">
        <v>57</v>
      </c>
      <c r="AG11" s="1" t="s">
        <v>60</v>
      </c>
      <c r="AH11" s="1" t="s">
        <v>57</v>
      </c>
      <c r="AI11" s="1">
        <f t="shared" si="0"/>
        <v>31</v>
      </c>
      <c r="AJ11" s="1">
        <f t="shared" si="1"/>
        <v>2</v>
      </c>
      <c r="AK11" s="1">
        <f t="shared" si="2"/>
        <v>1</v>
      </c>
      <c r="AL11" s="1">
        <f t="shared" si="3"/>
        <v>2</v>
      </c>
      <c r="AM11" s="1">
        <f t="shared" si="4"/>
        <v>28.5</v>
      </c>
    </row>
    <row r="12" spans="1:39" x14ac:dyDescent="0.25">
      <c r="A12" s="1" t="s">
        <v>17</v>
      </c>
      <c r="B12" s="1" t="s">
        <v>39</v>
      </c>
      <c r="C12" s="1" t="s">
        <v>56</v>
      </c>
      <c r="D12" s="1" t="s">
        <v>58</v>
      </c>
      <c r="E12" s="1" t="s">
        <v>57</v>
      </c>
      <c r="F12" s="1" t="s">
        <v>58</v>
      </c>
      <c r="G12" s="1" t="s">
        <v>57</v>
      </c>
      <c r="H12" s="1" t="s">
        <v>58</v>
      </c>
      <c r="I12" s="1" t="s">
        <v>60</v>
      </c>
      <c r="J12" s="1" t="s">
        <v>57</v>
      </c>
      <c r="K12" s="1" t="s">
        <v>57</v>
      </c>
      <c r="L12" s="1" t="s">
        <v>57</v>
      </c>
      <c r="M12" s="1" t="s">
        <v>59</v>
      </c>
      <c r="N12" s="1" t="s">
        <v>57</v>
      </c>
      <c r="O12" s="1" t="s">
        <v>57</v>
      </c>
      <c r="P12" s="1" t="s">
        <v>57</v>
      </c>
      <c r="Q12" s="1" t="s">
        <v>57</v>
      </c>
      <c r="R12" s="1" t="s">
        <v>60</v>
      </c>
      <c r="S12" s="1" t="s">
        <v>57</v>
      </c>
      <c r="T12" s="1" t="s">
        <v>57</v>
      </c>
      <c r="U12" s="1" t="s">
        <v>57</v>
      </c>
      <c r="V12" s="1" t="s">
        <v>57</v>
      </c>
      <c r="W12" s="1" t="s">
        <v>57</v>
      </c>
      <c r="X12" s="1" t="s">
        <v>57</v>
      </c>
      <c r="Y12" s="1" t="s">
        <v>57</v>
      </c>
      <c r="Z12" s="1" t="s">
        <v>57</v>
      </c>
      <c r="AA12" s="1" t="s">
        <v>57</v>
      </c>
      <c r="AB12" s="1" t="s">
        <v>57</v>
      </c>
      <c r="AC12" s="1" t="s">
        <v>57</v>
      </c>
      <c r="AD12" s="1" t="s">
        <v>57</v>
      </c>
      <c r="AE12" s="1" t="s">
        <v>57</v>
      </c>
      <c r="AF12" s="1" t="s">
        <v>57</v>
      </c>
      <c r="AG12" s="1" t="s">
        <v>57</v>
      </c>
      <c r="AH12" s="1" t="s">
        <v>57</v>
      </c>
      <c r="AI12" s="1">
        <f t="shared" si="0"/>
        <v>31</v>
      </c>
      <c r="AJ12" s="1">
        <f t="shared" si="1"/>
        <v>2</v>
      </c>
      <c r="AK12" s="1">
        <f t="shared" si="2"/>
        <v>3</v>
      </c>
      <c r="AL12" s="1">
        <f t="shared" si="3"/>
        <v>1</v>
      </c>
      <c r="AM12" s="1">
        <f t="shared" si="4"/>
        <v>27.5</v>
      </c>
    </row>
    <row r="13" spans="1:39" x14ac:dyDescent="0.25">
      <c r="A13" s="1" t="s">
        <v>18</v>
      </c>
      <c r="B13" s="1" t="s">
        <v>40</v>
      </c>
      <c r="C13" s="1" t="s">
        <v>56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60</v>
      </c>
      <c r="J13" s="1" t="s">
        <v>57</v>
      </c>
      <c r="K13" s="1" t="s">
        <v>57</v>
      </c>
      <c r="L13" s="1" t="s">
        <v>57</v>
      </c>
      <c r="M13" s="1" t="s">
        <v>57</v>
      </c>
      <c r="N13" s="1" t="s">
        <v>57</v>
      </c>
      <c r="O13" s="1" t="s">
        <v>57</v>
      </c>
      <c r="P13" s="1" t="s">
        <v>57</v>
      </c>
      <c r="Q13" s="1" t="s">
        <v>57</v>
      </c>
      <c r="R13" s="1" t="s">
        <v>60</v>
      </c>
      <c r="S13" s="1" t="s">
        <v>57</v>
      </c>
      <c r="T13" s="1" t="s">
        <v>57</v>
      </c>
      <c r="U13" s="1" t="s">
        <v>57</v>
      </c>
      <c r="V13" s="1" t="s">
        <v>57</v>
      </c>
      <c r="W13" s="1" t="s">
        <v>59</v>
      </c>
      <c r="X13" s="1" t="s">
        <v>57</v>
      </c>
      <c r="Y13" s="1" t="s">
        <v>57</v>
      </c>
      <c r="Z13" s="1" t="s">
        <v>57</v>
      </c>
      <c r="AA13" s="1" t="s">
        <v>57</v>
      </c>
      <c r="AB13" s="1" t="s">
        <v>59</v>
      </c>
      <c r="AC13" s="1" t="s">
        <v>57</v>
      </c>
      <c r="AD13" s="1" t="s">
        <v>57</v>
      </c>
      <c r="AE13" s="1" t="s">
        <v>57</v>
      </c>
      <c r="AF13" s="1" t="s">
        <v>57</v>
      </c>
      <c r="AG13" s="1" t="s">
        <v>57</v>
      </c>
      <c r="AH13" s="1" t="s">
        <v>57</v>
      </c>
      <c r="AI13" s="1">
        <f t="shared" si="0"/>
        <v>31</v>
      </c>
      <c r="AJ13" s="1">
        <f t="shared" si="1"/>
        <v>2</v>
      </c>
      <c r="AK13" s="1">
        <f t="shared" si="2"/>
        <v>0</v>
      </c>
      <c r="AL13" s="1">
        <f t="shared" si="3"/>
        <v>2</v>
      </c>
      <c r="AM13" s="1">
        <f t="shared" si="4"/>
        <v>29</v>
      </c>
    </row>
    <row r="14" spans="1:39" x14ac:dyDescent="0.25">
      <c r="A14" s="1" t="s">
        <v>19</v>
      </c>
      <c r="B14" s="1" t="s">
        <v>41</v>
      </c>
      <c r="C14" s="1" t="s">
        <v>56</v>
      </c>
      <c r="D14" s="1" t="s">
        <v>57</v>
      </c>
      <c r="E14" s="1" t="s">
        <v>58</v>
      </c>
      <c r="F14" s="1" t="s">
        <v>57</v>
      </c>
      <c r="G14" s="1" t="s">
        <v>57</v>
      </c>
      <c r="H14" s="1" t="s">
        <v>57</v>
      </c>
      <c r="I14" s="1" t="s">
        <v>57</v>
      </c>
      <c r="J14" s="1" t="s">
        <v>57</v>
      </c>
      <c r="K14" s="1" t="s">
        <v>57</v>
      </c>
      <c r="L14" s="1" t="s">
        <v>60</v>
      </c>
      <c r="M14" s="1" t="s">
        <v>57</v>
      </c>
      <c r="N14" s="1" t="s">
        <v>60</v>
      </c>
      <c r="O14" s="1" t="s">
        <v>58</v>
      </c>
      <c r="P14" s="1" t="s">
        <v>57</v>
      </c>
      <c r="Q14" s="1" t="s">
        <v>57</v>
      </c>
      <c r="R14" s="1" t="s">
        <v>57</v>
      </c>
      <c r="S14" s="1" t="s">
        <v>57</v>
      </c>
      <c r="T14" s="1" t="s">
        <v>57</v>
      </c>
      <c r="U14" s="1" t="s">
        <v>59</v>
      </c>
      <c r="V14" s="1" t="s">
        <v>57</v>
      </c>
      <c r="W14" s="1" t="s">
        <v>57</v>
      </c>
      <c r="X14" s="1" t="s">
        <v>57</v>
      </c>
      <c r="Y14" s="1" t="s">
        <v>57</v>
      </c>
      <c r="Z14" s="1" t="s">
        <v>57</v>
      </c>
      <c r="AA14" s="1" t="s">
        <v>57</v>
      </c>
      <c r="AB14" s="1" t="s">
        <v>57</v>
      </c>
      <c r="AC14" s="1" t="s">
        <v>57</v>
      </c>
      <c r="AD14" s="1" t="s">
        <v>60</v>
      </c>
      <c r="AE14" s="1" t="s">
        <v>57</v>
      </c>
      <c r="AF14" s="1" t="s">
        <v>57</v>
      </c>
      <c r="AG14" s="1" t="s">
        <v>57</v>
      </c>
      <c r="AH14" s="1" t="s">
        <v>58</v>
      </c>
      <c r="AI14" s="1">
        <f t="shared" si="0"/>
        <v>31</v>
      </c>
      <c r="AJ14" s="1">
        <f t="shared" si="1"/>
        <v>3</v>
      </c>
      <c r="AK14" s="1">
        <f t="shared" si="2"/>
        <v>3</v>
      </c>
      <c r="AL14" s="1">
        <f t="shared" si="3"/>
        <v>1</v>
      </c>
      <c r="AM14" s="1">
        <f t="shared" si="4"/>
        <v>26.5</v>
      </c>
    </row>
    <row r="15" spans="1:39" x14ac:dyDescent="0.25">
      <c r="A15" s="1" t="s">
        <v>20</v>
      </c>
      <c r="B15" s="1" t="s">
        <v>42</v>
      </c>
      <c r="C15" s="1" t="s">
        <v>56</v>
      </c>
      <c r="D15" s="1" t="s">
        <v>57</v>
      </c>
      <c r="E15" s="1" t="s">
        <v>58</v>
      </c>
      <c r="F15" s="1" t="s">
        <v>57</v>
      </c>
      <c r="G15" s="1" t="s">
        <v>57</v>
      </c>
      <c r="H15" s="1" t="s">
        <v>57</v>
      </c>
      <c r="I15" s="1" t="s">
        <v>58</v>
      </c>
      <c r="J15" s="1" t="s">
        <v>57</v>
      </c>
      <c r="K15" s="1" t="s">
        <v>58</v>
      </c>
      <c r="L15" s="1" t="s">
        <v>58</v>
      </c>
      <c r="M15" s="1" t="s">
        <v>57</v>
      </c>
      <c r="N15" s="1" t="s">
        <v>60</v>
      </c>
      <c r="O15" s="1" t="s">
        <v>57</v>
      </c>
      <c r="P15" s="1" t="s">
        <v>60</v>
      </c>
      <c r="Q15" s="1" t="s">
        <v>57</v>
      </c>
      <c r="R15" s="1" t="s">
        <v>57</v>
      </c>
      <c r="S15" s="1" t="s">
        <v>57</v>
      </c>
      <c r="T15" s="1" t="s">
        <v>57</v>
      </c>
      <c r="U15" s="1" t="s">
        <v>57</v>
      </c>
      <c r="V15" s="1" t="s">
        <v>57</v>
      </c>
      <c r="W15" s="1" t="s">
        <v>57</v>
      </c>
      <c r="X15" s="1" t="s">
        <v>59</v>
      </c>
      <c r="Y15" s="1" t="s">
        <v>57</v>
      </c>
      <c r="Z15" s="1" t="s">
        <v>57</v>
      </c>
      <c r="AA15" s="1" t="s">
        <v>57</v>
      </c>
      <c r="AB15" s="1" t="s">
        <v>57</v>
      </c>
      <c r="AC15" s="1" t="s">
        <v>60</v>
      </c>
      <c r="AD15" s="1" t="s">
        <v>60</v>
      </c>
      <c r="AE15" s="1" t="s">
        <v>57</v>
      </c>
      <c r="AF15" s="1" t="s">
        <v>57</v>
      </c>
      <c r="AG15" s="1" t="s">
        <v>57</v>
      </c>
      <c r="AH15" s="1" t="s">
        <v>57</v>
      </c>
      <c r="AI15" s="1">
        <f t="shared" si="0"/>
        <v>31</v>
      </c>
      <c r="AJ15" s="1">
        <f t="shared" si="1"/>
        <v>4</v>
      </c>
      <c r="AK15" s="1">
        <f t="shared" si="2"/>
        <v>4</v>
      </c>
      <c r="AL15" s="1">
        <f t="shared" si="3"/>
        <v>1</v>
      </c>
      <c r="AM15" s="1">
        <f t="shared" si="4"/>
        <v>25</v>
      </c>
    </row>
    <row r="16" spans="1:39" x14ac:dyDescent="0.25">
      <c r="A16" s="1" t="s">
        <v>21</v>
      </c>
      <c r="B16" s="1" t="s">
        <v>43</v>
      </c>
      <c r="C16" s="1" t="s">
        <v>56</v>
      </c>
      <c r="D16" s="1" t="s">
        <v>57</v>
      </c>
      <c r="E16" s="1" t="s">
        <v>57</v>
      </c>
      <c r="F16" s="1" t="s">
        <v>59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  <c r="L16" s="1" t="s">
        <v>57</v>
      </c>
      <c r="M16" s="1" t="s">
        <v>58</v>
      </c>
      <c r="N16" s="1" t="s">
        <v>57</v>
      </c>
      <c r="O16" s="1" t="s">
        <v>57</v>
      </c>
      <c r="P16" s="1" t="s">
        <v>60</v>
      </c>
      <c r="Q16" s="1" t="s">
        <v>57</v>
      </c>
      <c r="R16" s="1" t="s">
        <v>57</v>
      </c>
      <c r="S16" s="1" t="s">
        <v>57</v>
      </c>
      <c r="T16" s="1" t="s">
        <v>57</v>
      </c>
      <c r="U16" s="1" t="s">
        <v>57</v>
      </c>
      <c r="V16" s="1" t="s">
        <v>57</v>
      </c>
      <c r="W16" s="1" t="s">
        <v>57</v>
      </c>
      <c r="X16" s="1" t="s">
        <v>57</v>
      </c>
      <c r="Y16" s="1" t="s">
        <v>57</v>
      </c>
      <c r="Z16" s="1" t="s">
        <v>57</v>
      </c>
      <c r="AA16" s="1" t="s">
        <v>57</v>
      </c>
      <c r="AB16" s="1" t="s">
        <v>57</v>
      </c>
      <c r="AC16" s="1" t="s">
        <v>57</v>
      </c>
      <c r="AD16" s="1" t="s">
        <v>57</v>
      </c>
      <c r="AE16" s="1" t="s">
        <v>57</v>
      </c>
      <c r="AF16" s="1" t="s">
        <v>57</v>
      </c>
      <c r="AG16" s="1" t="s">
        <v>60</v>
      </c>
      <c r="AH16" s="1" t="s">
        <v>57</v>
      </c>
      <c r="AI16" s="1">
        <f t="shared" si="0"/>
        <v>31</v>
      </c>
      <c r="AJ16" s="1">
        <f t="shared" si="1"/>
        <v>2</v>
      </c>
      <c r="AK16" s="1">
        <f t="shared" si="2"/>
        <v>1</v>
      </c>
      <c r="AL16" s="1">
        <f t="shared" si="3"/>
        <v>1</v>
      </c>
      <c r="AM16" s="1">
        <f t="shared" si="4"/>
        <v>28.5</v>
      </c>
    </row>
    <row r="17" spans="1:39" x14ac:dyDescent="0.25">
      <c r="A17" s="1" t="s">
        <v>22</v>
      </c>
      <c r="B17" s="1" t="s">
        <v>44</v>
      </c>
      <c r="C17" s="1" t="s">
        <v>56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58</v>
      </c>
      <c r="I17" s="1" t="s">
        <v>59</v>
      </c>
      <c r="J17" s="1" t="s">
        <v>58</v>
      </c>
      <c r="K17" s="1" t="s">
        <v>57</v>
      </c>
      <c r="L17" s="1" t="s">
        <v>60</v>
      </c>
      <c r="M17" s="1" t="s">
        <v>57</v>
      </c>
      <c r="N17" s="1" t="s">
        <v>58</v>
      </c>
      <c r="O17" s="1" t="s">
        <v>57</v>
      </c>
      <c r="P17" s="1" t="s">
        <v>58</v>
      </c>
      <c r="Q17" s="1" t="s">
        <v>57</v>
      </c>
      <c r="R17" s="1" t="s">
        <v>57</v>
      </c>
      <c r="S17" s="1" t="s">
        <v>60</v>
      </c>
      <c r="T17" s="1" t="s">
        <v>57</v>
      </c>
      <c r="U17" s="1" t="s">
        <v>57</v>
      </c>
      <c r="V17" s="1" t="s">
        <v>57</v>
      </c>
      <c r="W17" s="1" t="s">
        <v>57</v>
      </c>
      <c r="X17" s="1" t="s">
        <v>57</v>
      </c>
      <c r="Y17" s="1" t="s">
        <v>57</v>
      </c>
      <c r="Z17" s="1" t="s">
        <v>57</v>
      </c>
      <c r="AA17" s="1" t="s">
        <v>60</v>
      </c>
      <c r="AB17" s="1" t="s">
        <v>60</v>
      </c>
      <c r="AC17" s="1" t="s">
        <v>57</v>
      </c>
      <c r="AD17" s="1" t="s">
        <v>57</v>
      </c>
      <c r="AE17" s="1" t="s">
        <v>57</v>
      </c>
      <c r="AF17" s="1" t="s">
        <v>57</v>
      </c>
      <c r="AG17" s="1" t="s">
        <v>57</v>
      </c>
      <c r="AH17" s="1" t="s">
        <v>57</v>
      </c>
      <c r="AI17" s="1">
        <f t="shared" si="0"/>
        <v>31</v>
      </c>
      <c r="AJ17" s="1">
        <f t="shared" si="1"/>
        <v>4</v>
      </c>
      <c r="AK17" s="1">
        <f t="shared" si="2"/>
        <v>4</v>
      </c>
      <c r="AL17" s="1">
        <f t="shared" si="3"/>
        <v>1</v>
      </c>
      <c r="AM17" s="1">
        <f t="shared" si="4"/>
        <v>25</v>
      </c>
    </row>
    <row r="18" spans="1:39" x14ac:dyDescent="0.25">
      <c r="A18" s="1" t="s">
        <v>23</v>
      </c>
      <c r="B18" s="1" t="s">
        <v>45</v>
      </c>
      <c r="C18" s="1" t="s">
        <v>56</v>
      </c>
      <c r="D18" s="1" t="s">
        <v>59</v>
      </c>
      <c r="E18" s="1" t="s">
        <v>57</v>
      </c>
      <c r="F18" s="1" t="s">
        <v>57</v>
      </c>
      <c r="G18" s="1" t="s">
        <v>57</v>
      </c>
      <c r="H18" s="1" t="s">
        <v>57</v>
      </c>
      <c r="I18" s="1" t="s">
        <v>57</v>
      </c>
      <c r="J18" s="1" t="s">
        <v>57</v>
      </c>
      <c r="K18" s="1" t="s">
        <v>57</v>
      </c>
      <c r="L18" s="1" t="s">
        <v>57</v>
      </c>
      <c r="M18" s="1" t="s">
        <v>57</v>
      </c>
      <c r="N18" s="1" t="s">
        <v>57</v>
      </c>
      <c r="O18" s="1" t="s">
        <v>59</v>
      </c>
      <c r="P18" s="1" t="s">
        <v>57</v>
      </c>
      <c r="Q18" s="1" t="s">
        <v>57</v>
      </c>
      <c r="R18" s="1" t="s">
        <v>60</v>
      </c>
      <c r="S18" s="1" t="s">
        <v>57</v>
      </c>
      <c r="T18" s="1" t="s">
        <v>57</v>
      </c>
      <c r="U18" s="1" t="s">
        <v>57</v>
      </c>
      <c r="V18" s="1" t="s">
        <v>57</v>
      </c>
      <c r="W18" s="1" t="s">
        <v>57</v>
      </c>
      <c r="X18" s="1" t="s">
        <v>57</v>
      </c>
      <c r="Y18" s="1" t="s">
        <v>57</v>
      </c>
      <c r="Z18" s="1" t="s">
        <v>57</v>
      </c>
      <c r="AA18" s="1" t="s">
        <v>57</v>
      </c>
      <c r="AB18" s="1" t="s">
        <v>57</v>
      </c>
      <c r="AC18" s="1" t="s">
        <v>57</v>
      </c>
      <c r="AD18" s="1" t="s">
        <v>57</v>
      </c>
      <c r="AE18" s="1" t="s">
        <v>57</v>
      </c>
      <c r="AF18" s="1" t="s">
        <v>57</v>
      </c>
      <c r="AG18" s="1" t="s">
        <v>60</v>
      </c>
      <c r="AH18" s="1" t="s">
        <v>60</v>
      </c>
      <c r="AI18" s="1">
        <f t="shared" si="0"/>
        <v>31</v>
      </c>
      <c r="AJ18" s="1">
        <f t="shared" si="1"/>
        <v>3</v>
      </c>
      <c r="AK18" s="1">
        <f t="shared" si="2"/>
        <v>0</v>
      </c>
      <c r="AL18" s="1">
        <f t="shared" si="3"/>
        <v>2</v>
      </c>
      <c r="AM18" s="1">
        <f t="shared" si="4"/>
        <v>28</v>
      </c>
    </row>
    <row r="19" spans="1:39" x14ac:dyDescent="0.25">
      <c r="A19" s="1" t="s">
        <v>24</v>
      </c>
      <c r="B19" s="1" t="s">
        <v>46</v>
      </c>
      <c r="C19" s="1" t="s">
        <v>56</v>
      </c>
      <c r="D19" s="1" t="s">
        <v>57</v>
      </c>
      <c r="E19" s="1" t="s">
        <v>57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  <c r="L19" s="1" t="s">
        <v>57</v>
      </c>
      <c r="M19" s="1" t="s">
        <v>57</v>
      </c>
      <c r="N19" s="1" t="s">
        <v>57</v>
      </c>
      <c r="O19" s="1" t="s">
        <v>57</v>
      </c>
      <c r="P19" s="1" t="s">
        <v>57</v>
      </c>
      <c r="Q19" s="1" t="s">
        <v>57</v>
      </c>
      <c r="R19" s="1" t="s">
        <v>57</v>
      </c>
      <c r="S19" s="1" t="s">
        <v>57</v>
      </c>
      <c r="T19" s="1" t="s">
        <v>57</v>
      </c>
      <c r="U19" s="1" t="s">
        <v>57</v>
      </c>
      <c r="V19" s="1" t="s">
        <v>57</v>
      </c>
      <c r="W19" s="1" t="s">
        <v>57</v>
      </c>
      <c r="X19" s="1" t="s">
        <v>57</v>
      </c>
      <c r="Y19" s="1" t="s">
        <v>57</v>
      </c>
      <c r="Z19" s="1" t="s">
        <v>57</v>
      </c>
      <c r="AA19" s="1" t="s">
        <v>57</v>
      </c>
      <c r="AB19" s="1" t="s">
        <v>57</v>
      </c>
      <c r="AC19" s="1" t="s">
        <v>57</v>
      </c>
      <c r="AD19" s="1" t="s">
        <v>57</v>
      </c>
      <c r="AE19" s="1" t="s">
        <v>57</v>
      </c>
      <c r="AF19" s="1" t="s">
        <v>57</v>
      </c>
      <c r="AG19" s="1" t="s">
        <v>57</v>
      </c>
      <c r="AH19" s="1" t="s">
        <v>57</v>
      </c>
      <c r="AI19" s="1">
        <f t="shared" si="0"/>
        <v>31</v>
      </c>
      <c r="AJ19" s="1">
        <f t="shared" si="1"/>
        <v>0</v>
      </c>
      <c r="AK19" s="1">
        <f t="shared" si="2"/>
        <v>0</v>
      </c>
      <c r="AL19" s="1">
        <f t="shared" si="3"/>
        <v>0</v>
      </c>
      <c r="AM19" s="1">
        <f t="shared" si="4"/>
        <v>31</v>
      </c>
    </row>
    <row r="20" spans="1:39" x14ac:dyDescent="0.25">
      <c r="A20" s="1" t="s">
        <v>25</v>
      </c>
      <c r="B20" s="1" t="s">
        <v>47</v>
      </c>
      <c r="C20" s="1" t="s">
        <v>56</v>
      </c>
      <c r="D20" s="1" t="s">
        <v>57</v>
      </c>
      <c r="E20" s="1" t="s">
        <v>57</v>
      </c>
      <c r="F20" s="1" t="s">
        <v>57</v>
      </c>
      <c r="G20" s="1" t="s">
        <v>58</v>
      </c>
      <c r="H20" s="1" t="s">
        <v>57</v>
      </c>
      <c r="I20" s="1" t="s">
        <v>57</v>
      </c>
      <c r="J20" s="1" t="s">
        <v>57</v>
      </c>
      <c r="K20" s="1" t="s">
        <v>59</v>
      </c>
      <c r="L20" s="1" t="s">
        <v>57</v>
      </c>
      <c r="M20" s="1" t="s">
        <v>57</v>
      </c>
      <c r="N20" s="1" t="s">
        <v>59</v>
      </c>
      <c r="O20" s="1" t="s">
        <v>57</v>
      </c>
      <c r="P20" s="1" t="s">
        <v>57</v>
      </c>
      <c r="Q20" s="1" t="s">
        <v>57</v>
      </c>
      <c r="R20" s="1" t="s">
        <v>57</v>
      </c>
      <c r="S20" s="1" t="s">
        <v>57</v>
      </c>
      <c r="T20" s="1" t="s">
        <v>57</v>
      </c>
      <c r="U20" s="1" t="s">
        <v>58</v>
      </c>
      <c r="V20" s="1" t="s">
        <v>57</v>
      </c>
      <c r="W20" s="1" t="s">
        <v>57</v>
      </c>
      <c r="X20" s="1" t="s">
        <v>57</v>
      </c>
      <c r="Y20" s="1" t="s">
        <v>57</v>
      </c>
      <c r="Z20" s="1" t="s">
        <v>57</v>
      </c>
      <c r="AA20" s="1" t="s">
        <v>57</v>
      </c>
      <c r="AB20" s="1" t="s">
        <v>58</v>
      </c>
      <c r="AC20" s="1" t="s">
        <v>57</v>
      </c>
      <c r="AD20" s="1" t="s">
        <v>57</v>
      </c>
      <c r="AE20" s="1" t="s">
        <v>59</v>
      </c>
      <c r="AF20" s="1" t="s">
        <v>57</v>
      </c>
      <c r="AG20" s="1" t="s">
        <v>57</v>
      </c>
      <c r="AH20" s="1" t="s">
        <v>57</v>
      </c>
      <c r="AI20" s="1">
        <f t="shared" si="0"/>
        <v>31</v>
      </c>
      <c r="AJ20" s="1">
        <f t="shared" si="1"/>
        <v>0</v>
      </c>
      <c r="AK20" s="1">
        <f t="shared" si="2"/>
        <v>3</v>
      </c>
      <c r="AL20" s="1">
        <f t="shared" si="3"/>
        <v>3</v>
      </c>
      <c r="AM20" s="1">
        <f t="shared" si="4"/>
        <v>29.5</v>
      </c>
    </row>
    <row r="21" spans="1:39" x14ac:dyDescent="0.25">
      <c r="A21" s="1" t="s">
        <v>26</v>
      </c>
      <c r="B21" s="1" t="s">
        <v>48</v>
      </c>
      <c r="C21" s="1" t="s">
        <v>56</v>
      </c>
      <c r="D21" s="1" t="s">
        <v>57</v>
      </c>
      <c r="E21" s="1" t="s">
        <v>59</v>
      </c>
      <c r="F21" s="1" t="s">
        <v>57</v>
      </c>
      <c r="G21" s="1" t="s">
        <v>57</v>
      </c>
      <c r="H21" s="1" t="s">
        <v>57</v>
      </c>
      <c r="I21" s="1" t="s">
        <v>57</v>
      </c>
      <c r="J21" s="1" t="s">
        <v>57</v>
      </c>
      <c r="K21" s="1" t="s">
        <v>57</v>
      </c>
      <c r="L21" s="1" t="s">
        <v>58</v>
      </c>
      <c r="M21" s="1" t="s">
        <v>57</v>
      </c>
      <c r="N21" s="1" t="s">
        <v>57</v>
      </c>
      <c r="O21" s="1" t="s">
        <v>57</v>
      </c>
      <c r="P21" s="1" t="s">
        <v>57</v>
      </c>
      <c r="Q21" s="1" t="s">
        <v>57</v>
      </c>
      <c r="R21" s="1" t="s">
        <v>57</v>
      </c>
      <c r="S21" s="1" t="s">
        <v>57</v>
      </c>
      <c r="T21" s="1" t="s">
        <v>57</v>
      </c>
      <c r="U21" s="1" t="s">
        <v>57</v>
      </c>
      <c r="V21" s="1" t="s">
        <v>57</v>
      </c>
      <c r="W21" s="1" t="s">
        <v>57</v>
      </c>
      <c r="X21" s="1" t="s">
        <v>58</v>
      </c>
      <c r="Y21" s="1" t="s">
        <v>57</v>
      </c>
      <c r="Z21" s="1" t="s">
        <v>57</v>
      </c>
      <c r="AA21" s="1" t="s">
        <v>57</v>
      </c>
      <c r="AB21" s="1" t="s">
        <v>57</v>
      </c>
      <c r="AC21" s="1" t="s">
        <v>60</v>
      </c>
      <c r="AD21" s="1" t="s">
        <v>59</v>
      </c>
      <c r="AE21" s="1" t="s">
        <v>57</v>
      </c>
      <c r="AF21" s="1" t="s">
        <v>57</v>
      </c>
      <c r="AG21" s="1" t="s">
        <v>57</v>
      </c>
      <c r="AH21" s="1" t="s">
        <v>58</v>
      </c>
      <c r="AI21" s="1">
        <f t="shared" si="0"/>
        <v>31</v>
      </c>
      <c r="AJ21" s="1">
        <f t="shared" si="1"/>
        <v>1</v>
      </c>
      <c r="AK21" s="1">
        <f t="shared" si="2"/>
        <v>3</v>
      </c>
      <c r="AL21" s="1">
        <f t="shared" si="3"/>
        <v>2</v>
      </c>
      <c r="AM21" s="1">
        <f t="shared" si="4"/>
        <v>28.5</v>
      </c>
    </row>
    <row r="22" spans="1:39" x14ac:dyDescent="0.25">
      <c r="A22" s="1" t="s">
        <v>27</v>
      </c>
      <c r="B22" s="1" t="s">
        <v>49</v>
      </c>
      <c r="C22" s="1" t="s">
        <v>56</v>
      </c>
      <c r="D22" s="1" t="s">
        <v>57</v>
      </c>
      <c r="E22" s="1" t="s">
        <v>57</v>
      </c>
      <c r="F22" s="1" t="s">
        <v>58</v>
      </c>
      <c r="G22" s="1" t="s">
        <v>57</v>
      </c>
      <c r="H22" s="1" t="s">
        <v>59</v>
      </c>
      <c r="I22" s="1" t="s">
        <v>59</v>
      </c>
      <c r="J22" s="1" t="s">
        <v>59</v>
      </c>
      <c r="K22" s="1" t="s">
        <v>57</v>
      </c>
      <c r="L22" s="1" t="s">
        <v>57</v>
      </c>
      <c r="M22" s="1" t="s">
        <v>59</v>
      </c>
      <c r="N22" s="1" t="s">
        <v>58</v>
      </c>
      <c r="O22" s="1" t="s">
        <v>57</v>
      </c>
      <c r="P22" s="1" t="s">
        <v>57</v>
      </c>
      <c r="Q22" s="1" t="s">
        <v>57</v>
      </c>
      <c r="R22" s="1" t="s">
        <v>57</v>
      </c>
      <c r="S22" s="1" t="s">
        <v>57</v>
      </c>
      <c r="T22" s="1" t="s">
        <v>57</v>
      </c>
      <c r="U22" s="1" t="s">
        <v>57</v>
      </c>
      <c r="V22" s="1" t="s">
        <v>57</v>
      </c>
      <c r="W22" s="1" t="s">
        <v>57</v>
      </c>
      <c r="X22" s="1" t="s">
        <v>57</v>
      </c>
      <c r="Y22" s="1" t="s">
        <v>57</v>
      </c>
      <c r="Z22" s="1" t="s">
        <v>57</v>
      </c>
      <c r="AA22" s="1" t="s">
        <v>57</v>
      </c>
      <c r="AB22" s="1" t="s">
        <v>57</v>
      </c>
      <c r="AC22" s="1" t="s">
        <v>57</v>
      </c>
      <c r="AD22" s="1" t="s">
        <v>57</v>
      </c>
      <c r="AE22" s="1" t="s">
        <v>57</v>
      </c>
      <c r="AF22" s="1" t="s">
        <v>60</v>
      </c>
      <c r="AG22" s="1" t="s">
        <v>57</v>
      </c>
      <c r="AH22" s="1" t="s">
        <v>57</v>
      </c>
      <c r="AI22" s="1">
        <f t="shared" si="0"/>
        <v>31</v>
      </c>
      <c r="AJ22" s="1">
        <f t="shared" si="1"/>
        <v>1</v>
      </c>
      <c r="AK22" s="1">
        <f t="shared" si="2"/>
        <v>2</v>
      </c>
      <c r="AL22" s="1">
        <f t="shared" si="3"/>
        <v>4</v>
      </c>
      <c r="AM22" s="1">
        <f t="shared" si="4"/>
        <v>29</v>
      </c>
    </row>
    <row r="23" spans="1:39" x14ac:dyDescent="0.25">
      <c r="A23" s="1" t="s">
        <v>28</v>
      </c>
      <c r="B23" s="1" t="s">
        <v>50</v>
      </c>
      <c r="C23" s="1" t="s">
        <v>56</v>
      </c>
      <c r="D23" s="1" t="s">
        <v>57</v>
      </c>
      <c r="E23" s="1" t="s">
        <v>57</v>
      </c>
      <c r="F23" s="1" t="s">
        <v>57</v>
      </c>
      <c r="G23" s="1" t="s">
        <v>57</v>
      </c>
      <c r="H23" s="1" t="s">
        <v>57</v>
      </c>
      <c r="I23" s="1" t="s">
        <v>57</v>
      </c>
      <c r="J23" s="1" t="s">
        <v>57</v>
      </c>
      <c r="K23" s="1" t="s">
        <v>57</v>
      </c>
      <c r="L23" s="1" t="s">
        <v>59</v>
      </c>
      <c r="M23" s="1" t="s">
        <v>57</v>
      </c>
      <c r="N23" s="1" t="s">
        <v>57</v>
      </c>
      <c r="O23" s="1" t="s">
        <v>57</v>
      </c>
      <c r="P23" s="1" t="s">
        <v>59</v>
      </c>
      <c r="Q23" s="1" t="s">
        <v>57</v>
      </c>
      <c r="R23" s="1" t="s">
        <v>57</v>
      </c>
      <c r="S23" s="1" t="s">
        <v>57</v>
      </c>
      <c r="T23" s="1" t="s">
        <v>57</v>
      </c>
      <c r="U23" s="1" t="s">
        <v>57</v>
      </c>
      <c r="V23" s="1" t="s">
        <v>57</v>
      </c>
      <c r="W23" s="1" t="s">
        <v>57</v>
      </c>
      <c r="X23" s="1" t="s">
        <v>57</v>
      </c>
      <c r="Y23" s="1" t="s">
        <v>57</v>
      </c>
      <c r="Z23" s="1" t="s">
        <v>57</v>
      </c>
      <c r="AA23" s="1" t="s">
        <v>57</v>
      </c>
      <c r="AB23" s="1" t="s">
        <v>57</v>
      </c>
      <c r="AC23" s="1" t="s">
        <v>57</v>
      </c>
      <c r="AD23" s="1" t="s">
        <v>57</v>
      </c>
      <c r="AE23" s="1" t="s">
        <v>60</v>
      </c>
      <c r="AF23" s="1" t="s">
        <v>57</v>
      </c>
      <c r="AG23" s="1" t="s">
        <v>57</v>
      </c>
      <c r="AH23" s="1" t="s">
        <v>57</v>
      </c>
      <c r="AI23" s="1">
        <f t="shared" si="0"/>
        <v>31</v>
      </c>
      <c r="AJ23" s="1">
        <f t="shared" si="1"/>
        <v>1</v>
      </c>
      <c r="AK23" s="1">
        <f t="shared" si="2"/>
        <v>0</v>
      </c>
      <c r="AL23" s="1">
        <f t="shared" si="3"/>
        <v>2</v>
      </c>
      <c r="AM23" s="1">
        <f t="shared" si="4"/>
        <v>30</v>
      </c>
    </row>
    <row r="24" spans="1:39" x14ac:dyDescent="0.25">
      <c r="A24" s="1" t="s">
        <v>29</v>
      </c>
      <c r="B24" s="1" t="s">
        <v>51</v>
      </c>
      <c r="C24" s="1" t="s">
        <v>56</v>
      </c>
      <c r="D24" s="1" t="s">
        <v>57</v>
      </c>
      <c r="E24" s="1" t="s">
        <v>57</v>
      </c>
      <c r="F24" s="1" t="s">
        <v>57</v>
      </c>
      <c r="G24" s="1" t="s">
        <v>57</v>
      </c>
      <c r="H24" s="1" t="s">
        <v>57</v>
      </c>
      <c r="I24" s="1" t="s">
        <v>57</v>
      </c>
      <c r="J24" s="1" t="s">
        <v>57</v>
      </c>
      <c r="K24" s="1" t="s">
        <v>58</v>
      </c>
      <c r="L24" s="1" t="s">
        <v>57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57</v>
      </c>
      <c r="U24" s="1" t="s">
        <v>57</v>
      </c>
      <c r="V24" s="1" t="s">
        <v>57</v>
      </c>
      <c r="W24" s="1" t="s">
        <v>58</v>
      </c>
      <c r="X24" s="1" t="s">
        <v>59</v>
      </c>
      <c r="Y24" s="1" t="s">
        <v>57</v>
      </c>
      <c r="Z24" s="1" t="s">
        <v>57</v>
      </c>
      <c r="AA24" s="1" t="s">
        <v>57</v>
      </c>
      <c r="AB24" s="1" t="s">
        <v>57</v>
      </c>
      <c r="AC24" s="1" t="s">
        <v>57</v>
      </c>
      <c r="AD24" s="1" t="s">
        <v>60</v>
      </c>
      <c r="AE24" s="1" t="s">
        <v>57</v>
      </c>
      <c r="AF24" s="1" t="s">
        <v>57</v>
      </c>
      <c r="AG24" s="1" t="s">
        <v>57</v>
      </c>
      <c r="AH24" s="1" t="s">
        <v>57</v>
      </c>
      <c r="AI24" s="1">
        <f t="shared" si="0"/>
        <v>31</v>
      </c>
      <c r="AJ24" s="1">
        <f t="shared" si="1"/>
        <v>1</v>
      </c>
      <c r="AK24" s="1">
        <f t="shared" si="2"/>
        <v>2</v>
      </c>
      <c r="AL24" s="1">
        <f t="shared" si="3"/>
        <v>1</v>
      </c>
      <c r="AM24" s="1">
        <f t="shared" si="4"/>
        <v>29</v>
      </c>
    </row>
    <row r="25" spans="1:39" x14ac:dyDescent="0.25">
      <c r="A25" s="1" t="s">
        <v>30</v>
      </c>
      <c r="B25" s="1" t="s">
        <v>52</v>
      </c>
      <c r="C25" s="1" t="s">
        <v>56</v>
      </c>
      <c r="D25" s="1" t="s">
        <v>57</v>
      </c>
      <c r="E25" s="1" t="s">
        <v>57</v>
      </c>
      <c r="F25" s="1" t="s">
        <v>57</v>
      </c>
      <c r="G25" s="1" t="s">
        <v>59</v>
      </c>
      <c r="H25" s="1" t="s">
        <v>58</v>
      </c>
      <c r="I25" s="1" t="s">
        <v>57</v>
      </c>
      <c r="J25" s="1" t="s">
        <v>58</v>
      </c>
      <c r="K25" s="1" t="s">
        <v>57</v>
      </c>
      <c r="L25" s="1" t="s">
        <v>57</v>
      </c>
      <c r="M25" s="1" t="s">
        <v>57</v>
      </c>
      <c r="N25" s="1" t="s">
        <v>57</v>
      </c>
      <c r="O25" s="1" t="s">
        <v>57</v>
      </c>
      <c r="P25" s="1" t="s">
        <v>57</v>
      </c>
      <c r="Q25" s="1" t="s">
        <v>57</v>
      </c>
      <c r="R25" s="1" t="s">
        <v>57</v>
      </c>
      <c r="S25" s="1" t="s">
        <v>57</v>
      </c>
      <c r="T25" s="1" t="s">
        <v>57</v>
      </c>
      <c r="U25" s="1" t="s">
        <v>59</v>
      </c>
      <c r="V25" s="1" t="s">
        <v>57</v>
      </c>
      <c r="W25" s="1" t="s">
        <v>57</v>
      </c>
      <c r="X25" s="1" t="s">
        <v>57</v>
      </c>
      <c r="Y25" s="1" t="s">
        <v>57</v>
      </c>
      <c r="Z25" s="1" t="s">
        <v>57</v>
      </c>
      <c r="AA25" s="1" t="s">
        <v>57</v>
      </c>
      <c r="AB25" s="1" t="s">
        <v>59</v>
      </c>
      <c r="AC25" s="1" t="s">
        <v>57</v>
      </c>
      <c r="AD25" s="1" t="s">
        <v>57</v>
      </c>
      <c r="AE25" s="1" t="s">
        <v>57</v>
      </c>
      <c r="AF25" s="1" t="s">
        <v>57</v>
      </c>
      <c r="AG25" s="1" t="s">
        <v>57</v>
      </c>
      <c r="AH25" s="1" t="s">
        <v>59</v>
      </c>
      <c r="AI25" s="1">
        <f t="shared" si="0"/>
        <v>31</v>
      </c>
      <c r="AJ25" s="1">
        <f t="shared" si="1"/>
        <v>0</v>
      </c>
      <c r="AK25" s="1">
        <f t="shared" si="2"/>
        <v>2</v>
      </c>
      <c r="AL25" s="1">
        <f t="shared" si="3"/>
        <v>4</v>
      </c>
      <c r="AM25" s="1">
        <f t="shared" si="4"/>
        <v>30</v>
      </c>
    </row>
  </sheetData>
  <mergeCells count="1">
    <mergeCell ref="A1:AM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Attendance Sheet</vt:lpstr>
      <vt:lpstr>'Attendance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꧁༒Keval Paramar༒꧂</dc:creator>
  <cp:lastModifiedBy>Riya Patel</cp:lastModifiedBy>
  <dcterms:created xsi:type="dcterms:W3CDTF">2026-05-06T04:24:31Z</dcterms:created>
  <dcterms:modified xsi:type="dcterms:W3CDTF">2026-05-12T10:09:14Z</dcterms:modified>
</cp:coreProperties>
</file>